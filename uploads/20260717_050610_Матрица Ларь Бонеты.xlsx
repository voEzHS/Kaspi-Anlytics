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Caches/slicerCache9.xml" ContentType="application/vnd.ms-excel.slicerCache+xml"/>
  <Override PartName="/xl/slicerCaches/slicerCache10.xml" ContentType="application/vnd.ms-excel.slicerCache+xml"/>
  <Override PartName="/xl/slicerCaches/slicerCache1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slicers/slicer2.xml" ContentType="application/vnd.ms-excel.slicer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esktop\матрица товаров\"/>
    </mc:Choice>
  </mc:AlternateContent>
  <xr:revisionPtr revIDLastSave="0" documentId="13_ncr:1_{72879E0E-7EE7-4C3E-AA1C-482891399D0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Главн" sheetId="1" r:id="rId1"/>
    <sheet name="Впр" sheetId="2" r:id="rId2"/>
  </sheets>
  <definedNames>
    <definedName name="Срез_БРЕНД">#N/A</definedName>
    <definedName name="Срез_БРЕНД1">#N/A</definedName>
    <definedName name="Срез_БРЕНД2">#N/A</definedName>
    <definedName name="Срез_Ветка">#N/A</definedName>
    <definedName name="Срез_Ветка1">#N/A</definedName>
    <definedName name="Срез_Месяц">#N/A</definedName>
    <definedName name="Срез_Месяц1">#N/A</definedName>
    <definedName name="Срез_Месяц2">#N/A</definedName>
    <definedName name="Срез_Тип">#N/A</definedName>
    <definedName name="Срез_Тип1">#N/A</definedName>
    <definedName name="Срез_Тип2">#N/A</definedName>
  </definedNames>
  <calcPr calcId="191029"/>
  <pivotCaches>
    <pivotCache cacheId="0" r:id="rId3"/>
  </pivotCaches>
  <extLst>
    <ext xmlns:x14="http://schemas.microsoft.com/office/spreadsheetml/2009/9/main" uri="{BBE1A952-AA13-448e-AADC-164F8A28A991}">
      <x14:slicerCaches>
        <x14:slicerCache r:id="rId4"/>
        <x14:slicerCache r:id="rId5"/>
        <x14:slicerCache r:id="rId6"/>
        <x14:slicerCache r:id="rId7"/>
        <x14:slicerCache r:id="rId8"/>
        <x14:slicerCache r:id="rId9"/>
        <x14:slicerCache r:id="rId1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11"/>
        <x14:slicerCache r:id="rId12"/>
        <x14:slicerCache r:id="rId13"/>
        <x14:slicerCache r:id="rId14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8" i="1" l="1"/>
  <c r="K123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</calcChain>
</file>

<file path=xl/sharedStrings.xml><?xml version="1.0" encoding="utf-8"?>
<sst xmlns="http://schemas.openxmlformats.org/spreadsheetml/2006/main" count="5892" uniqueCount="381">
  <si>
    <t>КОД товара</t>
  </si>
  <si>
    <t>Тип</t>
  </si>
  <si>
    <t>Название товара</t>
  </si>
  <si>
    <t>БРЕНД</t>
  </si>
  <si>
    <t>Объем</t>
  </si>
  <si>
    <t>Цвет</t>
  </si>
  <si>
    <t>Месяц</t>
  </si>
  <si>
    <t>РРЦ</t>
  </si>
  <si>
    <t>Штуки</t>
  </si>
  <si>
    <t>Выручка</t>
  </si>
  <si>
    <t>ABC</t>
  </si>
  <si>
    <t>Продавцов</t>
  </si>
  <si>
    <t>Рейтинг товара</t>
  </si>
  <si>
    <t>Разморозка</t>
  </si>
  <si>
    <t xml:space="preserve">Ширина </t>
  </si>
  <si>
    <t>Высота</t>
  </si>
  <si>
    <t>глубина</t>
  </si>
  <si>
    <t>кол. Корзин</t>
  </si>
  <si>
    <t>тем режим</t>
  </si>
  <si>
    <t>TIGER SD-1000NL 1000 л черный</t>
  </si>
  <si>
    <t>TIGER</t>
  </si>
  <si>
    <t>черный</t>
  </si>
  <si>
    <t>Январь</t>
  </si>
  <si>
    <t>A</t>
  </si>
  <si>
    <t>Бирюса 680KXQ 600 л белый</t>
  </si>
  <si>
    <t>Бирюса</t>
  </si>
  <si>
    <t>белый</t>
  </si>
  <si>
    <t>Бирюса 560KX 510 л белый</t>
  </si>
  <si>
    <t>TIGER SD-700NL 700 л черный</t>
  </si>
  <si>
    <t>AVANGARD SD/SC 718 л серый</t>
  </si>
  <si>
    <t>AVANGARD</t>
  </si>
  <si>
    <t>серый</t>
  </si>
  <si>
    <t>TIGER SD-500NL 500 л черный, серый</t>
  </si>
  <si>
    <t>черный, серый</t>
  </si>
  <si>
    <t>Muxxed SD/SC-268 268 л желтый</t>
  </si>
  <si>
    <t>Muxxed</t>
  </si>
  <si>
    <t>желтый</t>
  </si>
  <si>
    <t>ORION SD-318 318 л серый</t>
  </si>
  <si>
    <t>ORION</t>
  </si>
  <si>
    <t>Морозильник Muxxed SD/SC-205Y 205 л белый</t>
  </si>
  <si>
    <t>BL18 1240 л темно-синий</t>
  </si>
  <si>
    <t>Без бренда</t>
  </si>
  <si>
    <t>темно-синий</t>
  </si>
  <si>
    <t>MEISHIDIANQI LG-700L 700 л серый</t>
  </si>
  <si>
    <t>MEISHIDIANQI</t>
  </si>
  <si>
    <t>Haier HCE520RF 516 л белый</t>
  </si>
  <si>
    <t>Haier</t>
  </si>
  <si>
    <t>AVANGARD SD/SC-268Y 268 л голубой</t>
  </si>
  <si>
    <t>голубой</t>
  </si>
  <si>
    <t>OUCBOLL BD/BC-1680H 1600 л белый</t>
  </si>
  <si>
    <t>OUCBOLL</t>
  </si>
  <si>
    <t>Friggier BC/BD 800 800 л белый</t>
  </si>
  <si>
    <t>friggier</t>
  </si>
  <si>
    <t>Ариада Rapsodiya R1400LS 1400 л черный, белый</t>
  </si>
  <si>
    <t>Ариада</t>
  </si>
  <si>
    <t>черный, белый</t>
  </si>
  <si>
    <t>ARTICA 250 HT/CT 1030 л серый</t>
  </si>
  <si>
    <t>B</t>
  </si>
  <si>
    <t>AVANGARD CQS21L 900 л серый</t>
  </si>
  <si>
    <t>Friggier CI-17A 600 л черный</t>
  </si>
  <si>
    <t>Бирюса CF23 230 л белый</t>
  </si>
  <si>
    <t>Polair CB107-S 700 л белый</t>
  </si>
  <si>
    <t>Polair</t>
  </si>
  <si>
    <t>AVANGARD SD/SC518 518 л серый</t>
  </si>
  <si>
    <t>Бирюса CF68 680 л белый</t>
  </si>
  <si>
    <t>Muxxed SD/SC-155Y 155 л белый</t>
  </si>
  <si>
    <t>Platinum PLSD-550 520 л белый</t>
  </si>
  <si>
    <t>Platinum</t>
  </si>
  <si>
    <t>AVANGARD SD/SC-400Y A1u 400 л белый, серый</t>
  </si>
  <si>
    <t>белый, серый</t>
  </si>
  <si>
    <t>Морозильник Leadbros J BC/BD 500AT 500 л белый</t>
  </si>
  <si>
    <t>Leadbros</t>
  </si>
  <si>
    <t>AVANGARD SD/SC 328 л белый</t>
  </si>
  <si>
    <t>Aucma SD-420 420 л белый</t>
  </si>
  <si>
    <t>Aucma</t>
  </si>
  <si>
    <t>AVANGARD AF-750 750 л белый</t>
  </si>
  <si>
    <t>Prokitchen ХШН-2/1200П 1200 л серебристый</t>
  </si>
  <si>
    <t>Prokitchen</t>
  </si>
  <si>
    <t>серебристый</t>
  </si>
  <si>
    <t>AVANGARD AF-550 WHITE 550 л белый</t>
  </si>
  <si>
    <t>Bonvini BFL2500 1300 л красный</t>
  </si>
  <si>
    <t>Bonvini</t>
  </si>
  <si>
    <t>красный</t>
  </si>
  <si>
    <t>Морозильник FROX Frox FROX SB-SD 640 L черный, серый, желтый 640 л желтый</t>
  </si>
  <si>
    <t>FROX</t>
  </si>
  <si>
    <t>TIGER SD-500NL 500 л черный</t>
  </si>
  <si>
    <t>FROSTOR F 800 C 800 л белый-серый</t>
  </si>
  <si>
    <t>FROSTOR</t>
  </si>
  <si>
    <t>белый-серый</t>
  </si>
  <si>
    <t>Haier GTS2500W 1110 л белый</t>
  </si>
  <si>
    <t>Platinium PLM-720S 720 л серый</t>
  </si>
  <si>
    <t>Platinium</t>
  </si>
  <si>
    <t>Almagreen BDBC 555 555 л белый</t>
  </si>
  <si>
    <t>Almagreen</t>
  </si>
  <si>
    <t>Friggier SD/SC 326SY 326 л черный</t>
  </si>
  <si>
    <t>ХШН-1/600П 600 л серебристый</t>
  </si>
  <si>
    <t>C</t>
  </si>
  <si>
    <t>AVANGARD CQS25L 1000 л серый</t>
  </si>
  <si>
    <t>HF6- D2100 800 л черный</t>
  </si>
  <si>
    <t>Foodsense VF-1200L 1200 л стальной</t>
  </si>
  <si>
    <t>Foodsense</t>
  </si>
  <si>
    <t>стальной</t>
  </si>
  <si>
    <t>Бирюса CF50 500 л белый</t>
  </si>
  <si>
    <t>Rebus RF-650-1 650 л белый</t>
  </si>
  <si>
    <t>Rebus</t>
  </si>
  <si>
    <t>OUCBOLL BD/BC-1380H 1380 л белый</t>
  </si>
  <si>
    <t>Hansa FS5021.3W 502 л белый</t>
  </si>
  <si>
    <t>Hansa</t>
  </si>
  <si>
    <t>Polair CB105-S 500 л белый</t>
  </si>
  <si>
    <t>Leadbros CO-20SN 800 л серый</t>
  </si>
  <si>
    <t>FROX SD-SC-1250BY 1250 л серый</t>
  </si>
  <si>
    <t>MEISHIDIANQI LG-1000L 1000 л серый</t>
  </si>
  <si>
    <t>Haier HUF90RU 90 л белый</t>
  </si>
  <si>
    <t>Бирюса CF41 410 л белый</t>
  </si>
  <si>
    <t>Морозильник LUX 2000 680 л темно‑серый</t>
  </si>
  <si>
    <t>LUX</t>
  </si>
  <si>
    <t>темно‑серый</t>
  </si>
  <si>
    <t>AVANGARD BD/BC-1380 1380 л белый</t>
  </si>
  <si>
    <t>FROSTOR F 800 SD 800 л белый, серый</t>
  </si>
  <si>
    <t>ORION BD-560S 560 л серый</t>
  </si>
  <si>
    <t>FROSTOR F800SD 650 л белый</t>
  </si>
  <si>
    <t>AVANGARD SD/SC-328Y (A1u) 328 л белый, серый</t>
  </si>
  <si>
    <t>AVANGARD SD/SC-1800RS 647 л белый, серый</t>
  </si>
  <si>
    <t>Aucma SD-330 330 л белый</t>
  </si>
  <si>
    <t>Foodsense VF-600L 600 л стальной</t>
  </si>
  <si>
    <t>FROX SD-SC-700BY 725 л серый</t>
  </si>
  <si>
    <t>Friggier SD265BY 265 л черный</t>
  </si>
  <si>
    <t>FROSTOR F 700 S 700 л белый-серый</t>
  </si>
  <si>
    <t>LUX 700 700 л серый</t>
  </si>
  <si>
    <t>AOLIEGE HZRL4 800 л серебристый</t>
  </si>
  <si>
    <t>AOLIEGE</t>
  </si>
  <si>
    <t>FROSTOR Gellar FG 700 C 590 л красный</t>
  </si>
  <si>
    <t>XINGX SD/SC-500BY 500 л серый</t>
  </si>
  <si>
    <t>XINGX</t>
  </si>
  <si>
    <t>Haibaite SD/SC-2000QY 718 л серый</t>
  </si>
  <si>
    <t>Haibaite</t>
  </si>
  <si>
    <t>Muxxed SD/SC-318 318 л желтый</t>
  </si>
  <si>
    <t>AOLIEGE SD/SC-105Y 105 л белый</t>
  </si>
  <si>
    <t>Витринный морозильник LUX-квадрат 700 л темно-синий</t>
  </si>
  <si>
    <t>FROSTOR F 500 C 500 л серый-белый</t>
  </si>
  <si>
    <t>серый-белый</t>
  </si>
  <si>
    <t>Морозильник Almagreen BDBC 700 700 л белый</t>
  </si>
  <si>
    <t>Muxxed SD/SC-105Y 105 л белый</t>
  </si>
  <si>
    <t>ORION BD 660S 660 л серый</t>
  </si>
  <si>
    <t>FROSTOR Gellar FG 500 C 500 л красный</t>
  </si>
  <si>
    <t>BEKO BU1200HCA 96 л белый</t>
  </si>
  <si>
    <t>BEKO</t>
  </si>
  <si>
    <t>SABA HD-700 700 л белый</t>
  </si>
  <si>
    <t>SABA</t>
  </si>
  <si>
    <t>Haier HCE520RFC 516 л белый</t>
  </si>
  <si>
    <t>Haier SD-336AELUA 331 л белый</t>
  </si>
  <si>
    <t>Platinium PLSD-570 445 л белый</t>
  </si>
  <si>
    <t>Haier SD-516AELUA 513 л белый</t>
  </si>
  <si>
    <t>Морозильник Leadbros CI-15A 500 л серый</t>
  </si>
  <si>
    <t>Haier SD-325FPEL 320 л белый</t>
  </si>
  <si>
    <t>XINGX BC/BD501 501 л белый</t>
  </si>
  <si>
    <t>Xing BC/BD 500 500 л белый</t>
  </si>
  <si>
    <t>Xing</t>
  </si>
  <si>
    <t>Friggier CI-15A 500 л темно‑серый</t>
  </si>
  <si>
    <t>Морозильник Kumtel HCF-510 510 л белый</t>
  </si>
  <si>
    <t>Kumtel</t>
  </si>
  <si>
    <t>Морозильник Leadbros BC/BD-558 558 л белый</t>
  </si>
  <si>
    <t>Rebus RIF-600W 600 л белый</t>
  </si>
  <si>
    <t>Бирюса CF32 320 л белый</t>
  </si>
  <si>
    <t>SAMGA SC/SD-338 338 л серебристый</t>
  </si>
  <si>
    <t>SAMGA</t>
  </si>
  <si>
    <t>Platinium PLSD-450 420 л белый</t>
  </si>
  <si>
    <t>Muxxed SD/SC-112B 112 л серебристый</t>
  </si>
  <si>
    <t>Muxxed SD/SC-112B 122 л белый</t>
  </si>
  <si>
    <t>Морозильник XINGX BC/BD501AS 501 л белый</t>
  </si>
  <si>
    <t>Rebus RIF-550W 550 л белый</t>
  </si>
  <si>
    <t>Морозильник Friggier J SD-303B 303 л серый</t>
  </si>
  <si>
    <t>Almagreen SC/SD-380 380 л серый</t>
  </si>
  <si>
    <t>Muxxed SD/SC-318 300 л белый</t>
  </si>
  <si>
    <t>Aucma SD-280 280 л белый</t>
  </si>
  <si>
    <t>Almagreen SC/SD 280 л синий</t>
  </si>
  <si>
    <t>синий</t>
  </si>
  <si>
    <t xml:space="preserve"> черный</t>
  </si>
  <si>
    <t>Февраль</t>
  </si>
  <si>
    <t xml:space="preserve"> белый</t>
  </si>
  <si>
    <t xml:space="preserve"> серый</t>
  </si>
  <si>
    <t xml:space="preserve"> желтый</t>
  </si>
  <si>
    <t xml:space="preserve"> голубой</t>
  </si>
  <si>
    <t xml:space="preserve"> черный, серый</t>
  </si>
  <si>
    <t>Friggier SSFD-1200 1000 л серебристый</t>
  </si>
  <si>
    <t xml:space="preserve"> серебристый</t>
  </si>
  <si>
    <t xml:space="preserve"> темно-синий</t>
  </si>
  <si>
    <t>Aucma SD-540 540 л белый</t>
  </si>
  <si>
    <t xml:space="preserve"> белый, серый</t>
  </si>
  <si>
    <t>Leadbros J BC/BD 1700 1700 л белый</t>
  </si>
  <si>
    <t>XINGX XF-850 850 л белый</t>
  </si>
  <si>
    <t>AVANGARD BD/BC-798 718 л белый</t>
  </si>
  <si>
    <t>FROSTOR F 700 C 700 л белый, серый</t>
  </si>
  <si>
    <t xml:space="preserve"> синий</t>
  </si>
  <si>
    <t>SAMGA SC/SD 338 338 л мультиколор</t>
  </si>
  <si>
    <t xml:space="preserve"> мультиколор</t>
  </si>
  <si>
    <t xml:space="preserve"> стальной</t>
  </si>
  <si>
    <t xml:space="preserve"> черный, белый</t>
  </si>
  <si>
    <t>Prokitchen ХШН-2/1200С 1200 л белый</t>
  </si>
  <si>
    <t xml:space="preserve"> белый-серый</t>
  </si>
  <si>
    <t>ORION BD-560 560 л серебристый</t>
  </si>
  <si>
    <t>FROSTOR F 2500 B 999 л белый</t>
  </si>
  <si>
    <t>МОРОЗ BC/BD 850 850 л белый, черный</t>
  </si>
  <si>
    <t>МОРОЗ</t>
  </si>
  <si>
    <t xml:space="preserve"> белый, черный</t>
  </si>
  <si>
    <t>OUCBOLL BD/BC-758 758 л белый</t>
  </si>
  <si>
    <t>SABA HD-600 600 л белый</t>
  </si>
  <si>
    <t>AVANGARD BC/BD-2380 1800 л белый</t>
  </si>
  <si>
    <t>SAMGA SC/SD-338S 338 л серый</t>
  </si>
  <si>
    <t>ORION BD-660 660 л серебристый</t>
  </si>
  <si>
    <t>Friggier BC/BD 1250 1250 л белый</t>
  </si>
  <si>
    <t>Leadbros CO-25SN 1000 л серый</t>
  </si>
  <si>
    <t>Бирюса CF59 590 л белый</t>
  </si>
  <si>
    <t>BC/BD 1388BX 1380 л белый</t>
  </si>
  <si>
    <t>Haier SD-516AE 513 л белый</t>
  </si>
  <si>
    <t>RKS COLD Kitchen 500 500 л стальной</t>
  </si>
  <si>
    <t>RKS</t>
  </si>
  <si>
    <t>FROX SD/SC-800 800 л золотистый</t>
  </si>
  <si>
    <t xml:space="preserve"> золотистый</t>
  </si>
  <si>
    <t>Морозильник Aucma BC/BD(W)-500KFW 500 л белый</t>
  </si>
  <si>
    <t>Almagreen BDBC 1088 1088 л белый</t>
  </si>
  <si>
    <t>Haier SD-416AE 417 л белый</t>
  </si>
  <si>
    <t>Снеж МЛГ-600 551 л белый</t>
  </si>
  <si>
    <t>Снеж</t>
  </si>
  <si>
    <t>МОРОЗ BC/BD 850L 850 л белый-синий</t>
  </si>
  <si>
    <t xml:space="preserve"> белый-синий</t>
  </si>
  <si>
    <t>FROX JK-S01D 613 л серый</t>
  </si>
  <si>
    <t>LUX 700 л серый</t>
  </si>
  <si>
    <t>Haier SD-605FPEL 570 л белый</t>
  </si>
  <si>
    <t>Морозильник Leadbros BC/BD800 800 л белый</t>
  </si>
  <si>
    <t>Friggier SD/SC 246SY 246 л серый</t>
  </si>
  <si>
    <t>Leadbros CI-17 600 л серый</t>
  </si>
  <si>
    <t>Морозильник Haibaite SD/SC-1500QY 518 л серый</t>
  </si>
  <si>
    <t>LUX SD/SC-1500 518 л серый</t>
  </si>
  <si>
    <t>Friggier J SD/SC 366SY 366 л серый</t>
  </si>
  <si>
    <t>Март</t>
  </si>
  <si>
    <t>AVANGARD BD/BC-1080 1080 л белый</t>
  </si>
  <si>
    <t>Bonvini BF 2100L 1100 л белый-серый</t>
  </si>
  <si>
    <t>Haier GTS2500GB 800 л серый</t>
  </si>
  <si>
    <t>Haier GTS2500G 741 л серый</t>
  </si>
  <si>
    <t>Platinium PLM-1100S 1100 л серый</t>
  </si>
  <si>
    <t>XINGX SD/SC-1000BY 1000 л серый, мультиколор</t>
  </si>
  <si>
    <t xml:space="preserve"> серый, мультиколор</t>
  </si>
  <si>
    <t>Rebus RIF-700S 700 л серый</t>
  </si>
  <si>
    <t>Friggier SDD-H6 120 л серебристый</t>
  </si>
  <si>
    <t>Bonvini BFL 2500 1300 л белый, серый</t>
  </si>
  <si>
    <t>Hisense FC-66DD4SAS1 500 л белый</t>
  </si>
  <si>
    <t>Hisense</t>
  </si>
  <si>
    <t>Foodatlas FA1200-MOR 1200 л серый</t>
  </si>
  <si>
    <t>Foodatlas</t>
  </si>
  <si>
    <t>Blesk BL-718BD 708 л белый</t>
  </si>
  <si>
    <t>Blesk</t>
  </si>
  <si>
    <t>BAQ W-3000 1600 л белый</t>
  </si>
  <si>
    <t>BAQ</t>
  </si>
  <si>
    <t>Friggier LD-998 915 л серебристый</t>
  </si>
  <si>
    <t>Friggier SD/SC-2.0 RY 628 л белый</t>
  </si>
  <si>
    <t>Foodsense VFF-1200 1200 л стальной</t>
  </si>
  <si>
    <t>Морозильник TIGER SD-768E 768 л белый</t>
  </si>
  <si>
    <t>RKS Cold Freezer BD-1298-18 1100 л белый</t>
  </si>
  <si>
    <t>Polair CВ105-S 500 л белый</t>
  </si>
  <si>
    <t>RKS Cold 250 BD-980-27 1100 л серый</t>
  </si>
  <si>
    <t>AVANGARD SD/SC-2000K 748 л серый</t>
  </si>
  <si>
    <t>Haier GTS1850G 810 л серый</t>
  </si>
  <si>
    <t>OUCBOLL SD/SC-760B 780 л серый</t>
  </si>
  <si>
    <t>LUX SD-800 880 л серый, молочный</t>
  </si>
  <si>
    <t xml:space="preserve"> серый, молочный</t>
  </si>
  <si>
    <t>Platinium PLM-500W 500 л белый</t>
  </si>
  <si>
    <t>MK-100 700 л серый</t>
  </si>
  <si>
    <t>XINGX SD/SC326 326 л белый</t>
  </si>
  <si>
    <t>FROSTOR F 600 S 510 л белый</t>
  </si>
  <si>
    <t xml:space="preserve"> серый-белый</t>
  </si>
  <si>
    <t>LUX SD/SC-BYH2000 900 л черный, серый</t>
  </si>
  <si>
    <t>Platinium PLSD-350 330 л белый</t>
  </si>
  <si>
    <t>HEIL SD551S 551 л белый</t>
  </si>
  <si>
    <t>HEIL</t>
  </si>
  <si>
    <t>AVA CFR-501W 508 л белый</t>
  </si>
  <si>
    <t>AVA</t>
  </si>
  <si>
    <t>Haier SD-505FPEL 500 л белый</t>
  </si>
  <si>
    <t>Almagreen SDSC 550 550 л белый</t>
  </si>
  <si>
    <t>Friggier J SD-435BY 435 л черный</t>
  </si>
  <si>
    <t>Aucma BC/BD(W)-600KFW 600 л белый</t>
  </si>
  <si>
    <t>Friggier J SD365BY 365 л серый</t>
  </si>
  <si>
    <t>Muxxed D/SC-150B 150 л белый</t>
  </si>
  <si>
    <t>Май</t>
  </si>
  <si>
    <t>МОРОЗ BC/BD 3000 2500 л белый</t>
  </si>
  <si>
    <t>Rebus RIF-700W 700 л белый</t>
  </si>
  <si>
    <t>Friggier J SD/SC246SY 246 л серый</t>
  </si>
  <si>
    <t xml:space="preserve">BL18 </t>
  </si>
  <si>
    <t>Haier HFR-HM400 500 л серый</t>
  </si>
  <si>
    <t>Rebus RIF-550S 550 л серый</t>
  </si>
  <si>
    <t>XINGX SD/SC-246JY 246 л белый</t>
  </si>
  <si>
    <t>Haibaite SD/SC-1800QY 618 л серый</t>
  </si>
  <si>
    <t>Polair CВ114-S 1400 л белый</t>
  </si>
  <si>
    <t>XINGX SD-SC-208JY 208 л белый</t>
  </si>
  <si>
    <t>OUCBOLL BD/BC-538 538 л белый</t>
  </si>
  <si>
    <t>FROX L500 588 л серый</t>
  </si>
  <si>
    <t>Almagreen SC/SD-600 600 л белый</t>
  </si>
  <si>
    <t>Bravo BF-750S 750 л серый</t>
  </si>
  <si>
    <t>Bravo</t>
  </si>
  <si>
    <t>FROSTOR F 800 S 800 л белый-серый</t>
  </si>
  <si>
    <t>Rebus RF-750-1 750 л белый</t>
  </si>
  <si>
    <t>LUX 1200 л серый</t>
  </si>
  <si>
    <t>FROSTOR Gellar FG 700 С 590 л серый</t>
  </si>
  <si>
    <t>ORION BD-560S 560 л серебристый</t>
  </si>
  <si>
    <t>ORION SD-160 160 л серебристый</t>
  </si>
  <si>
    <t>AOLIEGE CF-E6 800 л серебристый</t>
  </si>
  <si>
    <t>AVANGARD SD/SC-158 158 л белый, синий</t>
  </si>
  <si>
    <t>Friggier SD/SC-728BY 669 л белый</t>
  </si>
  <si>
    <t>Friggier J SD-730B 730 л серый</t>
  </si>
  <si>
    <t>AVANGARD BD/BC-958 958 л белый</t>
  </si>
  <si>
    <t>XINGX SD/SC103B 103 л белый</t>
  </si>
  <si>
    <t>Aucma SD 620 620 л белый</t>
  </si>
  <si>
    <t>Friggier SD520Q 520 л белый</t>
  </si>
  <si>
    <t>Бирюса 560КХ 510 л белый</t>
  </si>
  <si>
    <t>AVANGARD SC/SD-308 400 л белый, серый</t>
  </si>
  <si>
    <t>XINGX BC/BD701AS 701 л белый</t>
  </si>
  <si>
    <t>Platinium PLM-550S 550 л серый</t>
  </si>
  <si>
    <t>ORION SD-260 260 л серый</t>
  </si>
  <si>
    <t>Almagreen SC/SD-156 156 л серый</t>
  </si>
  <si>
    <t>Апрель</t>
  </si>
  <si>
    <t>Abat LIGHT ШОК-5-1/1 160 л серый</t>
  </si>
  <si>
    <t>Abat</t>
  </si>
  <si>
    <t>Polair CB-114S 1400 л белый</t>
  </si>
  <si>
    <t>Снеж МЛП-600 518 л синий</t>
  </si>
  <si>
    <t>Abat Light ШОК-10-1/1 240 л серый</t>
  </si>
  <si>
    <t>Ариада Рапсодия R1400L 1400 л серый</t>
  </si>
  <si>
    <t>FROSTOR F 600 C 600 л серый-белый</t>
  </si>
  <si>
    <t>Foodsense FRX-F-4 870 л стальной</t>
  </si>
  <si>
    <t>МОРОЗ BC/BD 1388 1388 л белый</t>
  </si>
  <si>
    <t>Морозильный ларь Leadbros J IC-16 белый</t>
  </si>
  <si>
    <t>SAMGA BC/BD 400 400 л белый</t>
  </si>
  <si>
    <t>Foodatlas FAMS-4M 870 л серый</t>
  </si>
  <si>
    <t>Rebus RIF-600S 600 л серый</t>
  </si>
  <si>
    <t>Морозильник GRAND GACF-1200WDFI 1208 л белый</t>
  </si>
  <si>
    <t>GRAND</t>
  </si>
  <si>
    <t>Морозильник SDSC-528BY 528 л белый</t>
  </si>
  <si>
    <t>Platinium PLSD 550 520 л белый</t>
  </si>
  <si>
    <t>SAMGA SC/SD-338 338 л белый</t>
  </si>
  <si>
    <t>AVANGARD SD/SC-258Y 258 л белый, серый</t>
  </si>
  <si>
    <t>Platinium PLM-450S 400 л серый</t>
  </si>
  <si>
    <t>Aucma BC/BD(W)-500KFW 500 л белый</t>
  </si>
  <si>
    <t>бонета</t>
  </si>
  <si>
    <t>Defrost</t>
  </si>
  <si>
    <t>Ларь</t>
  </si>
  <si>
    <t>ручное</t>
  </si>
  <si>
    <t>No Frost</t>
  </si>
  <si>
    <t>шкаф</t>
  </si>
  <si>
    <t>шок</t>
  </si>
  <si>
    <t>Размороз</t>
  </si>
  <si>
    <t>Ветка</t>
  </si>
  <si>
    <t>0-100</t>
  </si>
  <si>
    <t>100-200</t>
  </si>
  <si>
    <t>200-300</t>
  </si>
  <si>
    <t>300-400</t>
  </si>
  <si>
    <t>400-500</t>
  </si>
  <si>
    <t>500-600</t>
  </si>
  <si>
    <t>600-700</t>
  </si>
  <si>
    <t>700-800</t>
  </si>
  <si>
    <t>800-900</t>
  </si>
  <si>
    <t>900-1000</t>
  </si>
  <si>
    <t>1000-1100</t>
  </si>
  <si>
    <t>1100-1200</t>
  </si>
  <si>
    <t>1200-1300</t>
  </si>
  <si>
    <t>1300-1400</t>
  </si>
  <si>
    <t>1400-1500</t>
  </si>
  <si>
    <t>1600-1700</t>
  </si>
  <si>
    <t>1700-1800</t>
  </si>
  <si>
    <t>1800-1900</t>
  </si>
  <si>
    <t>Отзывы</t>
  </si>
  <si>
    <t>Ширина</t>
  </si>
  <si>
    <t>Глубина</t>
  </si>
  <si>
    <t>Кол.Корзин</t>
  </si>
  <si>
    <t>Темп.реж</t>
  </si>
  <si>
    <t>%</t>
  </si>
  <si>
    <t>%%</t>
  </si>
  <si>
    <t>Общий итог</t>
  </si>
  <si>
    <t xml:space="preserve">Штуки </t>
  </si>
  <si>
    <t>Штуки %</t>
  </si>
  <si>
    <t xml:space="preserve">Выручка </t>
  </si>
  <si>
    <t>Выручка %</t>
  </si>
  <si>
    <t xml:space="preserve">Бренд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</si>
</sst>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000000"/>
      <name val="Arial"/>
      <family val="2"/>
      <charset val="204"/>
    </font>
    <font>
      <sz val="10"/>
      <color rgb="FF000000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3" fontId="0" fillId="0" borderId="0" xfId="0" applyNumberFormat="1"/>
    <xf numFmtId="0" fontId="0" fillId="2" borderId="0" xfId="0" applyFill="1"/>
    <xf numFmtId="0" fontId="2" fillId="0" borderId="0" xfId="0" applyFont="1"/>
    <xf numFmtId="0" fontId="0" fillId="3" borderId="0" xfId="0" applyFill="1"/>
    <xf numFmtId="0" fontId="3" fillId="0" borderId="0" xfId="0" applyFont="1"/>
    <xf numFmtId="0" fontId="0" fillId="4" borderId="0" xfId="0" applyFill="1"/>
    <xf numFmtId="9" fontId="0" fillId="0" borderId="0" xfId="1" applyFont="1"/>
    <xf numFmtId="9" fontId="0" fillId="5" borderId="0" xfId="1" applyFont="1" applyFill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10" fontId="0" fillId="0" borderId="0" xfId="0" applyNumberFormat="1"/>
  </cellXfs>
  <cellStyles count="2">
    <cellStyle name="Обычный" xfId="0" builtinId="0"/>
    <cellStyle name="Процентный" xfId="1" builtinId="5"/>
  </cellStyles>
  <dxfs count="29"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3" formatCode="0%"/>
    </dxf>
    <dxf>
      <numFmt numFmtId="3" formatCode="#,##0"/>
      <fill>
        <patternFill patternType="none">
          <fgColor indexed="64"/>
          <bgColor indexed="65"/>
        </patternFill>
      </fill>
    </dxf>
    <dxf>
      <numFmt numFmtId="13" formatCode="0%"/>
    </dxf>
    <dxf>
      <fill>
        <patternFill patternType="none">
          <fgColor indexed="64"/>
          <bgColor indexed="65"/>
        </patternFill>
      </fill>
    </dxf>
    <dxf>
      <numFmt numFmtId="3" formatCode="#,##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4" formatCode="0.00%"/>
    </dxf>
    <dxf>
      <numFmt numFmtId="13" formatCode="0%"/>
    </dxf>
    <dxf>
      <numFmt numFmtId="13" formatCode="0%"/>
    </dxf>
    <dxf>
      <numFmt numFmtId="14" formatCode="0.00%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5.xml"/><Relationship Id="rId13" Type="http://schemas.microsoft.com/office/2007/relationships/slicerCache" Target="slicerCaches/slicerCache10.xml"/><Relationship Id="rId1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microsoft.com/office/2007/relationships/slicerCache" Target="slicerCaches/slicerCache4.xml"/><Relationship Id="rId12" Type="http://schemas.microsoft.com/office/2007/relationships/slicerCache" Target="slicerCaches/slicerCache9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microsoft.com/office/2007/relationships/slicerCache" Target="slicerCaches/slicerCache3.xml"/><Relationship Id="rId11" Type="http://schemas.microsoft.com/office/2007/relationships/slicerCache" Target="slicerCaches/slicerCache8.xml"/><Relationship Id="rId5" Type="http://schemas.microsoft.com/office/2007/relationships/slicerCache" Target="slicerCaches/slicerCache2.xml"/><Relationship Id="rId15" Type="http://schemas.openxmlformats.org/officeDocument/2006/relationships/theme" Target="theme/theme1.xml"/><Relationship Id="rId10" Type="http://schemas.microsoft.com/office/2007/relationships/slicerCache" Target="slicerCaches/slicerCache7.xml"/><Relationship Id="rId4" Type="http://schemas.microsoft.com/office/2007/relationships/slicerCache" Target="slicerCaches/slicerCache1.xml"/><Relationship Id="rId9" Type="http://schemas.microsoft.com/office/2007/relationships/slicerCache" Target="slicerCaches/slicerCache6.xml"/><Relationship Id="rId14" Type="http://schemas.microsoft.com/office/2007/relationships/slicerCache" Target="slicerCaches/slicerCache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</xdr:colOff>
      <xdr:row>0</xdr:row>
      <xdr:rowOff>19050</xdr:rowOff>
    </xdr:from>
    <xdr:to>
      <xdr:col>2</xdr:col>
      <xdr:colOff>472440</xdr:colOff>
      <xdr:row>13</xdr:row>
      <xdr:rowOff>133350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Месяц">
              <a:extLst>
                <a:ext uri="{FF2B5EF4-FFF2-40B4-BE49-F238E27FC236}">
                  <a16:creationId xmlns:a16="http://schemas.microsoft.com/office/drawing/2014/main" id="{2A39BEDD-8E62-6203-36DB-A2F24D65E10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Месяц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050" y="19050"/>
              <a:ext cx="1815465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 таблицы. Срезы таблиц не поддерживаются в этой версии Excel.
Если фигура была изменена в более ранней версии Excel или если книга была сохранена в Excel 2007 или более ранней версии, использовать срез невозможно.</a:t>
              </a:r>
            </a:p>
          </xdr:txBody>
        </xdr:sp>
      </mc:Fallback>
    </mc:AlternateContent>
    <xdr:clientData/>
  </xdr:twoCellAnchor>
  <xdr:twoCellAnchor editAs="absolute">
    <xdr:from>
      <xdr:col>4</xdr:col>
      <xdr:colOff>594358</xdr:colOff>
      <xdr:row>0</xdr:row>
      <xdr:rowOff>22858</xdr:rowOff>
    </xdr:from>
    <xdr:to>
      <xdr:col>9</xdr:col>
      <xdr:colOff>320040</xdr:colOff>
      <xdr:row>13</xdr:row>
      <xdr:rowOff>137159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Ветка">
              <a:extLst>
                <a:ext uri="{FF2B5EF4-FFF2-40B4-BE49-F238E27FC236}">
                  <a16:creationId xmlns:a16="http://schemas.microsoft.com/office/drawing/2014/main" id="{A9682E2F-5767-F58C-7CFD-C80CEE0F8EA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Ветка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70933" y="22859"/>
              <a:ext cx="2878457" cy="242316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 таблицы. Срезы таблиц не поддерживаются в этой версии Excel.
Если фигура была изменена в более ранней версии Excel или если книга была сохранена в Excel 2007 или более ранней версии, использовать срез невозможно.</a:t>
              </a:r>
            </a:p>
          </xdr:txBody>
        </xdr:sp>
      </mc:Fallback>
    </mc:AlternateContent>
    <xdr:clientData/>
  </xdr:twoCellAnchor>
  <xdr:twoCellAnchor editAs="absolute">
    <xdr:from>
      <xdr:col>9</xdr:col>
      <xdr:colOff>306702</xdr:colOff>
      <xdr:row>0</xdr:row>
      <xdr:rowOff>1</xdr:rowOff>
    </xdr:from>
    <xdr:to>
      <xdr:col>18</xdr:col>
      <xdr:colOff>287655</xdr:colOff>
      <xdr:row>13</xdr:row>
      <xdr:rowOff>129540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4" name="БРЕНД">
              <a:extLst>
                <a:ext uri="{FF2B5EF4-FFF2-40B4-BE49-F238E27FC236}">
                  <a16:creationId xmlns:a16="http://schemas.microsoft.com/office/drawing/2014/main" id="{D706D7C0-DA12-1015-C4CF-D73D13AE5D8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БРЕНД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536052" y="1"/>
              <a:ext cx="5332098" cy="28079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 таблицы. Срезы таблиц не поддерживаются в этой версии Excel.
Если фигура была изменена в более ранней версии Excel или если книга была сохранена в Excel 2007 или более ранней версии, использовать срез невозможно.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478155</xdr:colOff>
      <xdr:row>0</xdr:row>
      <xdr:rowOff>57150</xdr:rowOff>
    </xdr:from>
    <xdr:to>
      <xdr:col>4</xdr:col>
      <xdr:colOff>590550</xdr:colOff>
      <xdr:row>13</xdr:row>
      <xdr:rowOff>129540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5" name="Тип">
              <a:extLst>
                <a:ext uri="{FF2B5EF4-FFF2-40B4-BE49-F238E27FC236}">
                  <a16:creationId xmlns:a16="http://schemas.microsoft.com/office/drawing/2014/main" id="{7F989148-DB9E-72B4-A53D-8494B16C1FD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Тип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42135" y="49530"/>
              <a:ext cx="1826895" cy="2457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 таблицы. Срезы таблиц не поддерживаются в этой версии Excel.
Если фигура была изменена в более ранней версии Excel или если книга была сохранена в Excel 2007 или более ранней версии, использовать срез невозможно.</a:t>
              </a:r>
            </a:p>
          </xdr:txBody>
        </xdr:sp>
      </mc:Fallback>
    </mc:AlternateContent>
    <xdr:clientData/>
  </xdr:twoCellAnchor>
  <xdr:twoCellAnchor editAs="oneCell">
    <xdr:from>
      <xdr:col>29</xdr:col>
      <xdr:colOff>38100</xdr:colOff>
      <xdr:row>0</xdr:row>
      <xdr:rowOff>175261</xdr:rowOff>
    </xdr:from>
    <xdr:to>
      <xdr:col>37</xdr:col>
      <xdr:colOff>152400</xdr:colOff>
      <xdr:row>10</xdr:row>
      <xdr:rowOff>38100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3" name="Месяц 1">
              <a:extLst>
                <a:ext uri="{FF2B5EF4-FFF2-40B4-BE49-F238E27FC236}">
                  <a16:creationId xmlns:a16="http://schemas.microsoft.com/office/drawing/2014/main" id="{ECC5AF2E-1DDB-7AF0-C60F-A23A9CB93EC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Месяц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348960" y="175261"/>
              <a:ext cx="1828800" cy="169163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56</xdr:col>
      <xdr:colOff>15240</xdr:colOff>
      <xdr:row>0</xdr:row>
      <xdr:rowOff>0</xdr:rowOff>
    </xdr:from>
    <xdr:to>
      <xdr:col>65</xdr:col>
      <xdr:colOff>0</xdr:colOff>
      <xdr:row>8</xdr:row>
      <xdr:rowOff>22859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5" name="Тип 1">
              <a:extLst>
                <a:ext uri="{FF2B5EF4-FFF2-40B4-BE49-F238E27FC236}">
                  <a16:creationId xmlns:a16="http://schemas.microsoft.com/office/drawing/2014/main" id="{C4FD5F08-45CE-EBA5-1B85-070EB329959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Тип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670000" y="1"/>
              <a:ext cx="1828800" cy="13868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29</xdr:col>
      <xdr:colOff>15240</xdr:colOff>
      <xdr:row>10</xdr:row>
      <xdr:rowOff>45721</xdr:rowOff>
    </xdr:from>
    <xdr:to>
      <xdr:col>37</xdr:col>
      <xdr:colOff>171450</xdr:colOff>
      <xdr:row>18</xdr:row>
      <xdr:rowOff>15241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6" name="Тип 2">
              <a:extLst>
                <a:ext uri="{FF2B5EF4-FFF2-40B4-BE49-F238E27FC236}">
                  <a16:creationId xmlns:a16="http://schemas.microsoft.com/office/drawing/2014/main" id="{61F3725B-5829-631E-5185-07C7DE854DD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Тип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326100" y="1874521"/>
              <a:ext cx="1828800" cy="14401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37</xdr:col>
      <xdr:colOff>152400</xdr:colOff>
      <xdr:row>0</xdr:row>
      <xdr:rowOff>175260</xdr:rowOff>
    </xdr:from>
    <xdr:to>
      <xdr:col>49</xdr:col>
      <xdr:colOff>167640</xdr:colOff>
      <xdr:row>26</xdr:row>
      <xdr:rowOff>129540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7" name="БРЕНД 1">
              <a:extLst>
                <a:ext uri="{FF2B5EF4-FFF2-40B4-BE49-F238E27FC236}">
                  <a16:creationId xmlns:a16="http://schemas.microsoft.com/office/drawing/2014/main" id="{23318C4D-6060-8A0B-9C2D-23A86EF1BD3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БРЕНД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177760" y="175260"/>
              <a:ext cx="2628900" cy="47167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56</xdr:col>
      <xdr:colOff>7620</xdr:colOff>
      <xdr:row>7</xdr:row>
      <xdr:rowOff>121921</xdr:rowOff>
    </xdr:from>
    <xdr:to>
      <xdr:col>65</xdr:col>
      <xdr:colOff>0</xdr:colOff>
      <xdr:row>24</xdr:row>
      <xdr:rowOff>76200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9" name="Ветка 1">
              <a:extLst>
                <a:ext uri="{FF2B5EF4-FFF2-40B4-BE49-F238E27FC236}">
                  <a16:creationId xmlns:a16="http://schemas.microsoft.com/office/drawing/2014/main" id="{3954EA46-7F90-08BF-7863-0EA379AC361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Ветка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662380" y="1402081"/>
              <a:ext cx="1836420" cy="306323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65</xdr:col>
      <xdr:colOff>7620</xdr:colOff>
      <xdr:row>0</xdr:row>
      <xdr:rowOff>7620</xdr:rowOff>
    </xdr:from>
    <xdr:to>
      <xdr:col>72</xdr:col>
      <xdr:colOff>571500</xdr:colOff>
      <xdr:row>25</xdr:row>
      <xdr:rowOff>53340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0" name="БРЕНД 2">
              <a:extLst>
                <a:ext uri="{FF2B5EF4-FFF2-40B4-BE49-F238E27FC236}">
                  <a16:creationId xmlns:a16="http://schemas.microsoft.com/office/drawing/2014/main" id="{DF4446B7-AEC0-186B-29FD-2B45BAEDD0D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БРЕНД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514040" y="7620"/>
              <a:ext cx="3116580" cy="46253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72</xdr:col>
      <xdr:colOff>571500</xdr:colOff>
      <xdr:row>0</xdr:row>
      <xdr:rowOff>0</xdr:rowOff>
    </xdr:from>
    <xdr:to>
      <xdr:col>75</xdr:col>
      <xdr:colOff>571500</xdr:colOff>
      <xdr:row>13</xdr:row>
      <xdr:rowOff>93345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Месяц 2">
              <a:extLst>
                <a:ext uri="{FF2B5EF4-FFF2-40B4-BE49-F238E27FC236}">
                  <a16:creationId xmlns:a16="http://schemas.microsoft.com/office/drawing/2014/main" id="{FC97A38B-79FF-091B-2441-14EC1FD3388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Месяц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630620" y="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Пользователь" refreshedDate="46213.485250231482" createdVersion="8" refreshedVersion="8" minRefreshableVersion="3" recordCount="666" xr:uid="{E40D1B0C-C251-4891-BAEC-BEB64A829ADC}">
  <cacheSource type="worksheet">
    <worksheetSource name="Таблица1"/>
  </cacheSource>
  <cacheFields count="23">
    <cacheField name="КОД товара" numFmtId="0">
      <sharedItems containsSemiMixedTypes="0" containsString="0" containsNumber="1" containsInteger="1" minValue="2800214" maxValue="166729413"/>
    </cacheField>
    <cacheField name="Тип" numFmtId="0">
      <sharedItems count="4">
        <s v="бонета"/>
        <s v="Ларь"/>
        <s v="шкаф"/>
        <s v="шок"/>
      </sharedItems>
    </cacheField>
    <cacheField name="Название товара" numFmtId="0">
      <sharedItems/>
    </cacheField>
    <cacheField name="БРЕНД" numFmtId="0">
      <sharedItems count="46">
        <s v="TIGER"/>
        <s v="Бирюса"/>
        <s v="AVANGARD"/>
        <s v="Muxxed"/>
        <s v="ORION"/>
        <s v="Без бренда"/>
        <s v="MEISHIDIANQI"/>
        <s v="Haier"/>
        <s v="OUCBOLL"/>
        <s v="friggier"/>
        <s v="Ариада"/>
        <s v="Polair"/>
        <s v="Platinum"/>
        <s v="Leadbros"/>
        <s v="Aucma"/>
        <s v="Prokitchen"/>
        <s v="Bonvini"/>
        <s v="FROX"/>
        <s v="FROSTOR"/>
        <s v="Platinium"/>
        <s v="Almagreen"/>
        <s v="Foodsense"/>
        <s v="Rebus"/>
        <s v="Hansa"/>
        <s v="LUX"/>
        <s v="AOLIEGE"/>
        <s v="XINGX"/>
        <s v="Haibaite"/>
        <s v="BEKO"/>
        <s v="SABA"/>
        <s v="Xing"/>
        <s v="Kumtel"/>
        <s v="SAMGA"/>
        <s v="МОРОЗ"/>
        <s v="RKS"/>
        <s v="Снеж"/>
        <s v="Hisense"/>
        <s v="Foodatlas"/>
        <s v="Blesk"/>
        <s v="BAQ"/>
        <s v="HEIL"/>
        <s v="AVA"/>
        <s v="BL18 "/>
        <s v="Bravo"/>
        <s v="Abat"/>
        <s v="GRAND"/>
      </sharedItems>
    </cacheField>
    <cacheField name="Объем" numFmtId="0">
      <sharedItems containsSemiMixedTypes="0" containsString="0" containsNumber="1" containsInteger="1" minValue="90" maxValue="2500"/>
    </cacheField>
    <cacheField name="Ветка" numFmtId="0">
      <sharedItems containsMixedTypes="1" containsNumber="1" containsInteger="1" minValue="2500" maxValue="2500" count="19">
        <s v="1000-1100"/>
        <s v="600-700"/>
        <s v="500-600"/>
        <s v="700-800"/>
        <s v="200-300"/>
        <s v="300-400"/>
        <s v="1200-1300"/>
        <s v="1600-1700"/>
        <s v="800-900"/>
        <s v="1400-1500"/>
        <s v="900-1000"/>
        <s v="100-200"/>
        <s v="400-500"/>
        <s v="1300-1400"/>
        <s v="1100-1200"/>
        <s v="0-100"/>
        <s v="1700-1800"/>
        <s v="1800-1900"/>
        <n v="2500"/>
      </sharedItems>
    </cacheField>
    <cacheField name="Цвет" numFmtId="0">
      <sharedItems/>
    </cacheField>
    <cacheField name="Месяц" numFmtId="0">
      <sharedItems count="5">
        <s v="Январь"/>
        <s v="Февраль"/>
        <s v="Март"/>
        <s v="Май"/>
        <s v="Апрель"/>
      </sharedItems>
    </cacheField>
    <cacheField name="РРЦ" numFmtId="3">
      <sharedItems containsSemiMixedTypes="0" containsString="0" containsNumber="1" containsInteger="1" minValue="86700" maxValue="2000000"/>
    </cacheField>
    <cacheField name="Штуки" numFmtId="0">
      <sharedItems containsSemiMixedTypes="0" containsString="0" containsNumber="1" containsInteger="1" minValue="0" maxValue="82"/>
    </cacheField>
    <cacheField name="%" numFmtId="9">
      <sharedItems containsSemiMixedTypes="0" containsString="0" containsNumber="1" minValue="0" maxValue="1"/>
    </cacheField>
    <cacheField name="Выручка" numFmtId="3">
      <sharedItems containsSemiMixedTypes="0" containsString="0" containsNumber="1" containsInteger="1" minValue="0" maxValue="31404035"/>
    </cacheField>
    <cacheField name="%%" numFmtId="9">
      <sharedItems containsSemiMixedTypes="0" containsString="0" containsNumber="1" minValue="0" maxValue="1"/>
    </cacheField>
    <cacheField name="ABC" numFmtId="0">
      <sharedItems/>
    </cacheField>
    <cacheField name="Продавцов" numFmtId="0">
      <sharedItems containsSemiMixedTypes="0" containsString="0" containsNumber="1" containsInteger="1" minValue="0" maxValue="18"/>
    </cacheField>
    <cacheField name="Рейтинг товара" numFmtId="0">
      <sharedItems containsSemiMixedTypes="0" containsString="0" containsNumber="1" minValue="0" maxValue="5"/>
    </cacheField>
    <cacheField name="Отзывы" numFmtId="0">
      <sharedItems containsSemiMixedTypes="0" containsString="0" containsNumber="1" containsInteger="1" minValue="0" maxValue="198"/>
    </cacheField>
    <cacheField name="Размороз" numFmtId="0">
      <sharedItems/>
    </cacheField>
    <cacheField name="Ширина" numFmtId="0">
      <sharedItems containsSemiMixedTypes="0" containsString="0" containsNumber="1" minValue="50" maxValue="380.8"/>
    </cacheField>
    <cacheField name="Высота" numFmtId="0">
      <sharedItems containsSemiMixedTypes="0" containsString="0" containsNumber="1" minValue="63.7" maxValue="215"/>
    </cacheField>
    <cacheField name="Глубина" numFmtId="0">
      <sharedItems containsSemiMixedTypes="0" containsString="0" containsNumber="1" minValue="45" maxValue="110"/>
    </cacheField>
    <cacheField name="Кол.Корзин" numFmtId="0">
      <sharedItems containsSemiMixedTypes="0" containsString="0" containsNumber="1" containsInteger="1" minValue="0" maxValue="12"/>
    </cacheField>
    <cacheField name="Темп.реж" numFmtId="0">
      <sharedItems containsSemiMixedTypes="0" containsString="0" containsNumber="1" containsInteger="1" minValue="-40" maxValue="0"/>
    </cacheField>
  </cacheFields>
  <extLst>
    <ext xmlns:x14="http://schemas.microsoft.com/office/spreadsheetml/2009/9/main" uri="{725AE2AE-9491-48be-B2B4-4EB974FC3084}">
      <x14:pivotCacheDefinition pivotCacheId="53343614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6">
  <r>
    <n v="137444929"/>
    <x v="0"/>
    <s v="TIGER SD-1000NL 1000 л черный"/>
    <x v="0"/>
    <n v="1000"/>
    <x v="0"/>
    <s v="черный"/>
    <x v="0"/>
    <n v="700000"/>
    <n v="15"/>
    <n v="0.78947368421052633"/>
    <n v="8243203"/>
    <n v="0.71306867946098773"/>
    <s v="A"/>
    <n v="1"/>
    <n v="4.9000000000000004"/>
    <n v="39"/>
    <s v="Defrost"/>
    <n v="250"/>
    <n v="85"/>
    <n v="76"/>
    <n v="9"/>
    <n v="-18"/>
  </r>
  <r>
    <n v="100018121"/>
    <x v="1"/>
    <s v="Бирюса 680KXQ 600 л белый"/>
    <x v="1"/>
    <n v="600"/>
    <x v="1"/>
    <s v="белый"/>
    <x v="0"/>
    <n v="292320"/>
    <n v="28"/>
    <n v="0.5957446808510638"/>
    <n v="7952718"/>
    <n v="0.49394444744643468"/>
    <s v="A"/>
    <n v="6"/>
    <n v="4.7"/>
    <n v="146"/>
    <s v="ручное"/>
    <n v="203.5"/>
    <n v="81"/>
    <n v="66.5"/>
    <n v="2"/>
    <n v="-18"/>
  </r>
  <r>
    <n v="2800664"/>
    <x v="1"/>
    <s v="Бирюса 560KX 510 л белый"/>
    <x v="1"/>
    <n v="510"/>
    <x v="2"/>
    <s v="белый"/>
    <x v="0"/>
    <n v="260200"/>
    <n v="28"/>
    <n v="0.28282828282828282"/>
    <n v="7455310"/>
    <n v="0.26026523887358261"/>
    <s v="A"/>
    <n v="14"/>
    <n v="4.8"/>
    <n v="192"/>
    <s v="ручное"/>
    <n v="179"/>
    <n v="81"/>
    <n v="66"/>
    <n v="2"/>
    <n v="-18"/>
  </r>
  <r>
    <n v="137444919"/>
    <x v="0"/>
    <s v="TIGER SD-700NL 700 л черный"/>
    <x v="0"/>
    <n v="700"/>
    <x v="3"/>
    <s v="черный"/>
    <x v="0"/>
    <n v="389340"/>
    <n v="18"/>
    <n v="0.33333333333333331"/>
    <n v="7170108"/>
    <n v="0.32562672322404296"/>
    <s v="A"/>
    <n v="3"/>
    <n v="4.9000000000000004"/>
    <n v="46"/>
    <s v="Defrost"/>
    <n v="200"/>
    <n v="85"/>
    <n v="76"/>
    <n v="7"/>
    <n v="-24"/>
  </r>
  <r>
    <n v="121978898"/>
    <x v="0"/>
    <s v="AVANGARD SD/SC 718 л серый"/>
    <x v="2"/>
    <n v="718"/>
    <x v="3"/>
    <s v="серый"/>
    <x v="0"/>
    <n v="424980"/>
    <n v="13"/>
    <n v="0.24074074074074073"/>
    <n v="5451581"/>
    <n v="0.24758071390562753"/>
    <s v="A"/>
    <n v="6"/>
    <n v="4.9000000000000004"/>
    <n v="124"/>
    <s v="ручное"/>
    <n v="200"/>
    <n v="86"/>
    <n v="75.7"/>
    <n v="6"/>
    <n v="-18"/>
  </r>
  <r>
    <n v="137446425"/>
    <x v="0"/>
    <s v="TIGER SD-500NL 500 л черный, серый"/>
    <x v="0"/>
    <n v="500"/>
    <x v="2"/>
    <s v="черный, серый"/>
    <x v="0"/>
    <n v="291750"/>
    <n v="16"/>
    <n v="0.16161616161616163"/>
    <n v="4813213"/>
    <n v="0.16802950262221597"/>
    <s v="A"/>
    <n v="3"/>
    <n v="4.9000000000000004"/>
    <n v="25"/>
    <s v="Defrost"/>
    <n v="150"/>
    <n v="85"/>
    <n v="76"/>
    <n v="5"/>
    <n v="-24"/>
  </r>
  <r>
    <n v="119264286"/>
    <x v="0"/>
    <s v="Muxxed SD/SC-268 268 л желтый"/>
    <x v="3"/>
    <n v="268"/>
    <x v="4"/>
    <s v="желтый"/>
    <x v="0"/>
    <n v="263800"/>
    <n v="28"/>
    <n v="0.33734939759036142"/>
    <n v="4554779"/>
    <n v="0.34483774426561137"/>
    <s v="A"/>
    <n v="1"/>
    <n v="5"/>
    <n v="47"/>
    <s v="Defrost"/>
    <n v="110"/>
    <n v="85"/>
    <n v="60"/>
    <n v="4"/>
    <n v="-18"/>
  </r>
  <r>
    <n v="141507444"/>
    <x v="0"/>
    <s v="ORION SD-318 318 л серый"/>
    <x v="4"/>
    <n v="318"/>
    <x v="5"/>
    <s v="серый"/>
    <x v="0"/>
    <n v="550000"/>
    <n v="18"/>
    <n v="0.43902439024390244"/>
    <n v="3374852"/>
    <n v="0.40813692620838921"/>
    <s v="A"/>
    <n v="3"/>
    <n v="4.9000000000000004"/>
    <n v="20"/>
    <s v="ручное"/>
    <n v="129.4"/>
    <n v="83"/>
    <n v="59.8"/>
    <n v="5"/>
    <n v="-18"/>
  </r>
  <r>
    <n v="143838104"/>
    <x v="0"/>
    <s v="Морозильник Muxxed SD/SC-205Y 205 л белый"/>
    <x v="3"/>
    <n v="205"/>
    <x v="4"/>
    <s v="белый"/>
    <x v="0"/>
    <n v="137400"/>
    <n v="24"/>
    <n v="0.28915662650602408"/>
    <n v="3353269"/>
    <n v="0.25387262869961474"/>
    <s v="A"/>
    <n v="1"/>
    <n v="4.9000000000000004"/>
    <n v="22"/>
    <s v="ручное"/>
    <n v="100"/>
    <n v="77"/>
    <n v="50"/>
    <n v="4"/>
    <n v="-18"/>
  </r>
  <r>
    <n v="145109215"/>
    <x v="0"/>
    <s v="BL18 1240 л темно-синий"/>
    <x v="5"/>
    <n v="1240"/>
    <x v="6"/>
    <s v="темно-синий"/>
    <x v="0"/>
    <n v="523699"/>
    <n v="6"/>
    <n v="0.66666666666666663"/>
    <n v="3321161"/>
    <n v="0.58637621529009998"/>
    <s v="A"/>
    <n v="1"/>
    <n v="4.8"/>
    <n v="3"/>
    <s v="Defrost"/>
    <n v="250"/>
    <n v="80"/>
    <n v="76"/>
    <n v="9"/>
    <n v="-25"/>
  </r>
  <r>
    <n v="117503807"/>
    <x v="0"/>
    <s v="MEISHIDIANQI LG-700L 700 л серый"/>
    <x v="6"/>
    <n v="700"/>
    <x v="3"/>
    <s v="серый"/>
    <x v="0"/>
    <n v="393935"/>
    <n v="8"/>
    <n v="0.14814814814814814"/>
    <n v="3130134"/>
    <n v="0.14215340656963135"/>
    <s v="A"/>
    <n v="3"/>
    <n v="4.9000000000000004"/>
    <n v="7"/>
    <s v="No Frost"/>
    <n v="200"/>
    <n v="85"/>
    <n v="75"/>
    <n v="7"/>
    <n v="-24"/>
  </r>
  <r>
    <n v="113954312"/>
    <x v="1"/>
    <s v="Haier HCE520RF 516 л белый"/>
    <x v="7"/>
    <n v="516"/>
    <x v="2"/>
    <s v="белый"/>
    <x v="0"/>
    <n v="369990"/>
    <n v="9"/>
    <n v="9.0909090909090912E-2"/>
    <n v="2901123"/>
    <n v="0.10127834665448446"/>
    <s v="A"/>
    <n v="3"/>
    <n v="5"/>
    <n v="34"/>
    <s v="ручное"/>
    <n v="165"/>
    <n v="84.5"/>
    <n v="74.5"/>
    <n v="0"/>
    <n v="-29"/>
  </r>
  <r>
    <n v="121978941"/>
    <x v="0"/>
    <s v="AVANGARD SD/SC-268Y 268 л голубой"/>
    <x v="2"/>
    <n v="268"/>
    <x v="4"/>
    <s v="голубой"/>
    <x v="0"/>
    <n v="172900"/>
    <n v="17"/>
    <n v="0.20481927710843373"/>
    <n v="2854923"/>
    <n v="0.21614335346940258"/>
    <s v="A"/>
    <n v="2"/>
    <n v="4.9000000000000004"/>
    <n v="61"/>
    <s v="ручное"/>
    <n v="109.5"/>
    <n v="85"/>
    <n v="60"/>
    <n v="3"/>
    <n v="-18"/>
  </r>
  <r>
    <n v="140611570"/>
    <x v="1"/>
    <s v="OUCBOLL BD/BC-1680H 1600 л белый"/>
    <x v="8"/>
    <n v="1600"/>
    <x v="7"/>
    <s v="белый"/>
    <x v="0"/>
    <n v="729990"/>
    <n v="4"/>
    <n v="1"/>
    <n v="2707960"/>
    <n v="1"/>
    <s v="A"/>
    <n v="2"/>
    <n v="5"/>
    <n v="10"/>
    <s v="ручное"/>
    <n v="315"/>
    <n v="93"/>
    <n v="89"/>
    <n v="0"/>
    <n v="-18"/>
  </r>
  <r>
    <n v="140652811"/>
    <x v="1"/>
    <s v="Friggier BC/BD 800 800 л белый"/>
    <x v="9"/>
    <n v="800"/>
    <x v="8"/>
    <s v="белый"/>
    <x v="0"/>
    <n v="333000"/>
    <n v="7"/>
    <n v="0.53846153846153844"/>
    <n v="2510105"/>
    <n v="0.45280711530458301"/>
    <s v="A"/>
    <n v="1"/>
    <n v="5"/>
    <n v="7"/>
    <s v="ручное"/>
    <n v="194.5"/>
    <n v="88"/>
    <n v="80"/>
    <n v="2"/>
    <n v="-18"/>
  </r>
  <r>
    <n v="114694121"/>
    <x v="2"/>
    <s v="Ариада Rapsodiya R1400LS 1400 л черный, белый"/>
    <x v="10"/>
    <n v="1400"/>
    <x v="9"/>
    <s v="черный, белый"/>
    <x v="0"/>
    <n v="1120000"/>
    <n v="2"/>
    <n v="1"/>
    <n v="2255239"/>
    <n v="1"/>
    <s v="A"/>
    <n v="1"/>
    <n v="4.33"/>
    <n v="5"/>
    <s v="ручное"/>
    <n v="160"/>
    <n v="198"/>
    <n v="72.5"/>
    <n v="0"/>
    <n v="-18"/>
  </r>
  <r>
    <n v="152415627"/>
    <x v="0"/>
    <s v="ARTICA 250 HT/CT 1030 л серый"/>
    <x v="5"/>
    <n v="1030"/>
    <x v="0"/>
    <s v="серый"/>
    <x v="0"/>
    <n v="880000"/>
    <n v="2"/>
    <n v="0.10526315789473684"/>
    <n v="2072528"/>
    <n v="0.17928162197460404"/>
    <s v="B"/>
    <n v="1"/>
    <n v="0"/>
    <n v="0"/>
    <s v="ручное"/>
    <n v="252"/>
    <n v="94"/>
    <n v="95"/>
    <n v="0"/>
    <n v="-24"/>
  </r>
  <r>
    <n v="121978807"/>
    <x v="0"/>
    <s v="AVANGARD CQS21L 900 л серый"/>
    <x v="2"/>
    <n v="900"/>
    <x v="10"/>
    <s v="серый"/>
    <x v="0"/>
    <n v="519085"/>
    <n v="4"/>
    <n v="1"/>
    <n v="2016315"/>
    <n v="1"/>
    <s v="A"/>
    <n v="5"/>
    <n v="4.8"/>
    <n v="13"/>
    <s v="ручное"/>
    <n v="214.5"/>
    <n v="86"/>
    <n v="89"/>
    <n v="6"/>
    <n v="-18"/>
  </r>
  <r>
    <n v="141408862"/>
    <x v="0"/>
    <s v="Friggier CI-17A 600 л черный"/>
    <x v="9"/>
    <n v="600"/>
    <x v="1"/>
    <s v="черный"/>
    <x v="0"/>
    <n v="371000"/>
    <n v="5"/>
    <n v="0.10638297872340426"/>
    <n v="1900279"/>
    <n v="0.11802659928958419"/>
    <s v="A"/>
    <n v="4"/>
    <n v="5"/>
    <n v="5"/>
    <s v="ручное"/>
    <n v="165"/>
    <n v="86"/>
    <n v="76"/>
    <n v="5"/>
    <n v="-18"/>
  </r>
  <r>
    <n v="117232021"/>
    <x v="0"/>
    <s v="Бирюса CF23 230 л белый"/>
    <x v="1"/>
    <n v="230"/>
    <x v="4"/>
    <s v="белый"/>
    <x v="0"/>
    <n v="199650"/>
    <n v="10"/>
    <n v="0.12048192771084337"/>
    <n v="1711405"/>
    <n v="0.12956875398891771"/>
    <s v="B"/>
    <n v="10"/>
    <n v="5"/>
    <n v="18"/>
    <s v="ручное"/>
    <n v="88"/>
    <n v="88.5"/>
    <n v="66.5"/>
    <n v="3"/>
    <n v="-25"/>
  </r>
  <r>
    <n v="102055246"/>
    <x v="2"/>
    <s v="Polair CB107-S 700 л белый"/>
    <x v="11"/>
    <n v="700"/>
    <x v="3"/>
    <s v="белый"/>
    <x v="0"/>
    <n v="632820"/>
    <n v="2"/>
    <n v="3.7037037037037035E-2"/>
    <n v="1671768"/>
    <n v="7.5922473668571216E-2"/>
    <s v="A"/>
    <n v="3"/>
    <n v="5"/>
    <n v="5"/>
    <s v="ручное"/>
    <n v="73"/>
    <n v="199"/>
    <n v="96"/>
    <n v="0"/>
    <n v="-18"/>
  </r>
  <r>
    <n v="121978911"/>
    <x v="0"/>
    <s v="AVANGARD SD/SC518 518 л серый"/>
    <x v="2"/>
    <n v="518"/>
    <x v="2"/>
    <s v="серый"/>
    <x v="0"/>
    <n v="309990"/>
    <n v="5"/>
    <n v="5.0505050505050504E-2"/>
    <n v="1622728"/>
    <n v="5.6649514312195053E-2"/>
    <s v="A"/>
    <n v="8"/>
    <n v="4.9000000000000004"/>
    <n v="55"/>
    <s v="ручное"/>
    <n v="147.5"/>
    <n v="86"/>
    <n v="75.7"/>
    <n v="4"/>
    <n v="-18"/>
  </r>
  <r>
    <n v="132088486"/>
    <x v="0"/>
    <s v="Бирюса CF68 680 л белый"/>
    <x v="1"/>
    <n v="680"/>
    <x v="1"/>
    <s v="белый"/>
    <x v="0"/>
    <n v="371725"/>
    <n v="4"/>
    <n v="8.5106382978723402E-2"/>
    <n v="1551990"/>
    <n v="9.6394319903257239E-2"/>
    <s v="A"/>
    <n v="5"/>
    <n v="5"/>
    <n v="17"/>
    <s v="ручное"/>
    <n v="202.5"/>
    <n v="88.5"/>
    <n v="66.5"/>
    <n v="6"/>
    <n v="-25"/>
  </r>
  <r>
    <n v="119264288"/>
    <x v="0"/>
    <s v="Muxxed SD/SC-155Y 155 л белый"/>
    <x v="3"/>
    <n v="155"/>
    <x v="11"/>
    <s v="белый"/>
    <x v="0"/>
    <n v="116500"/>
    <n v="12"/>
    <n v="0.5"/>
    <n v="1406053"/>
    <n v="0.54956167659240829"/>
    <s v="A"/>
    <n v="1"/>
    <n v="5"/>
    <n v="16"/>
    <s v="Defrost"/>
    <n v="50"/>
    <n v="80"/>
    <n v="80"/>
    <n v="3"/>
    <n v="0"/>
  </r>
  <r>
    <n v="140053241"/>
    <x v="0"/>
    <s v="Platinum PLSD-550 520 л белый"/>
    <x v="12"/>
    <n v="520"/>
    <x v="2"/>
    <s v="белый"/>
    <x v="0"/>
    <n v="389990"/>
    <n v="5"/>
    <n v="5.0505050505050504E-2"/>
    <n v="1397480"/>
    <n v="4.8786095550829432E-2"/>
    <s v="B"/>
    <n v="2"/>
    <n v="5"/>
    <n v="6"/>
    <s v="ручное"/>
    <n v="166"/>
    <n v="83"/>
    <n v="69"/>
    <n v="6"/>
    <n v="-18"/>
  </r>
  <r>
    <n v="136188264"/>
    <x v="0"/>
    <s v="AVANGARD SD/SC-400Y A1u 400 л белый, серый"/>
    <x v="2"/>
    <n v="400"/>
    <x v="12"/>
    <s v="белый, серый"/>
    <x v="0"/>
    <n v="255000"/>
    <n v="5"/>
    <n v="0.35714285714285715"/>
    <n v="1275000"/>
    <n v="0.366700489394159"/>
    <s v="A"/>
    <n v="2"/>
    <n v="4.5999999999999996"/>
    <n v="19"/>
    <s v="ручное"/>
    <n v="144"/>
    <n v="84.1"/>
    <n v="66"/>
    <n v="4"/>
    <n v="-18"/>
  </r>
  <r>
    <n v="121586076"/>
    <x v="1"/>
    <s v="Морозильник Leadbros J BC/BD 500AT 500 л белый"/>
    <x v="13"/>
    <n v="500"/>
    <x v="2"/>
    <s v="белый"/>
    <x v="0"/>
    <n v="267700"/>
    <n v="5"/>
    <n v="5.0505050505050504E-2"/>
    <n v="1262372"/>
    <n v="4.4069468624017269E-2"/>
    <s v="B"/>
    <n v="1"/>
    <n v="5"/>
    <n v="2"/>
    <s v="Defrost"/>
    <n v="165"/>
    <n v="84"/>
    <n v="77"/>
    <n v="0"/>
    <n v="-18"/>
  </r>
  <r>
    <n v="121978926"/>
    <x v="0"/>
    <s v="AVANGARD SD/SC 328 л белый"/>
    <x v="2"/>
    <n v="328"/>
    <x v="5"/>
    <s v="белый"/>
    <x v="0"/>
    <n v="204900"/>
    <n v="6"/>
    <n v="0.14634146341463414"/>
    <n v="1244478"/>
    <n v="0.15050065177790428"/>
    <s v="A"/>
    <n v="2"/>
    <n v="4.9000000000000004"/>
    <n v="138"/>
    <s v="ручное"/>
    <n v="124"/>
    <n v="82.6"/>
    <n v="69.3"/>
    <n v="4"/>
    <n v="-18"/>
  </r>
  <r>
    <n v="148808069"/>
    <x v="0"/>
    <s v="Aucma SD-420 420 л белый"/>
    <x v="14"/>
    <n v="420"/>
    <x v="12"/>
    <s v="белый"/>
    <x v="0"/>
    <n v="279990"/>
    <n v="5"/>
    <n v="0.35714285714285715"/>
    <n v="1149859"/>
    <n v="0.33070890826217908"/>
    <s v="A"/>
    <n v="2"/>
    <n v="5"/>
    <n v="13"/>
    <s v="Defrost"/>
    <n v="139.30000000000001"/>
    <n v="89"/>
    <n v="77.599999999999994"/>
    <n v="6"/>
    <n v="0"/>
  </r>
  <r>
    <n v="116903955"/>
    <x v="1"/>
    <s v="AVANGARD AF-750 750 л белый"/>
    <x v="2"/>
    <n v="750"/>
    <x v="3"/>
    <s v="белый"/>
    <x v="0"/>
    <n v="309990"/>
    <n v="3"/>
    <n v="5.5555555555555552E-2"/>
    <n v="1135938"/>
    <n v="5.1588033084811677E-2"/>
    <s v="A"/>
    <n v="1"/>
    <n v="4.9000000000000004"/>
    <n v="22"/>
    <s v="Defrost"/>
    <n v="188"/>
    <n v="95.2"/>
    <n v="73.5"/>
    <n v="1"/>
    <n v="-18"/>
  </r>
  <r>
    <n v="116443884"/>
    <x v="2"/>
    <s v="Prokitchen ХШН-2/1200П 1200 л серебристый"/>
    <x v="15"/>
    <n v="1200"/>
    <x v="6"/>
    <s v="серебристый"/>
    <x v="0"/>
    <n v="1068000"/>
    <n v="1"/>
    <n v="0.1111111111111111"/>
    <n v="1126713"/>
    <n v="0.1989297431404724"/>
    <s v="B"/>
    <n v="1"/>
    <n v="5"/>
    <n v="1"/>
    <s v="Defrost"/>
    <n v="140"/>
    <n v="215"/>
    <n v="70"/>
    <n v="0"/>
    <n v="-18"/>
  </r>
  <r>
    <n v="120309401"/>
    <x v="1"/>
    <s v="AVANGARD AF-550 WHITE 550 л белый"/>
    <x v="2"/>
    <n v="550"/>
    <x v="2"/>
    <s v="белый"/>
    <x v="0"/>
    <n v="274990"/>
    <n v="4"/>
    <n v="4.0404040404040407E-2"/>
    <n v="1079063"/>
    <n v="3.7670142415894795E-2"/>
    <s v="A"/>
    <n v="3"/>
    <n v="5"/>
    <n v="50"/>
    <s v="ручное"/>
    <n v="165"/>
    <n v="83.5"/>
    <n v="73"/>
    <n v="2"/>
    <n v="-18"/>
  </r>
  <r>
    <n v="122619339"/>
    <x v="0"/>
    <s v="Bonvini BFL2500 1300 л красный"/>
    <x v="16"/>
    <n v="1300"/>
    <x v="13"/>
    <s v="красный"/>
    <x v="0"/>
    <n v="995000"/>
    <n v="1"/>
    <n v="0.33333333333333331"/>
    <n v="1040330"/>
    <n v="0.48380488571642494"/>
    <s v="B"/>
    <n v="1"/>
    <n v="5"/>
    <n v="1"/>
    <s v="Defrost"/>
    <n v="275"/>
    <n v="102"/>
    <n v="104"/>
    <n v="6"/>
    <n v="-25"/>
  </r>
  <r>
    <n v="148461790"/>
    <x v="0"/>
    <s v="Морозильник FROX Frox FROX SB-SD 640 L черный, серый, желтый 640 л желтый"/>
    <x v="17"/>
    <n v="640"/>
    <x v="1"/>
    <s v="желтый"/>
    <x v="0"/>
    <n v="410000"/>
    <n v="2"/>
    <n v="4.2553191489361701E-2"/>
    <n v="900334"/>
    <n v="5.5919872947492705E-2"/>
    <s v="B"/>
    <n v="1"/>
    <n v="0"/>
    <n v="0"/>
    <s v="Defrost"/>
    <n v="180"/>
    <n v="85"/>
    <n v="77"/>
    <n v="6"/>
    <n v="-22"/>
  </r>
  <r>
    <n v="137444909"/>
    <x v="0"/>
    <s v="TIGER SD-500NL 500 л черный"/>
    <x v="0"/>
    <n v="500"/>
    <x v="2"/>
    <s v="черный"/>
    <x v="0"/>
    <n v="298900"/>
    <n v="3"/>
    <n v="3.0303030303030304E-2"/>
    <n v="877754"/>
    <n v="3.064243532223913E-2"/>
    <s v="A"/>
    <n v="1"/>
    <n v="5"/>
    <n v="0"/>
    <s v="Defrost"/>
    <n v="150"/>
    <n v="85"/>
    <n v="76"/>
    <n v="5"/>
    <n v="-24"/>
  </r>
  <r>
    <n v="110555379"/>
    <x v="0"/>
    <s v="FROSTOR F 800 C 800 л белый-серый"/>
    <x v="18"/>
    <n v="800"/>
    <x v="8"/>
    <s v="белый-серый"/>
    <x v="0"/>
    <n v="530000"/>
    <n v="2"/>
    <n v="0.15384615384615385"/>
    <n v="875000"/>
    <n v="0.15784448295649392"/>
    <s v="A"/>
    <n v="1"/>
    <n v="4.8"/>
    <n v="41"/>
    <s v="ручное"/>
    <n v="200"/>
    <n v="84"/>
    <n v="60"/>
    <n v="9"/>
    <n v="-22"/>
  </r>
  <r>
    <n v="114880698"/>
    <x v="0"/>
    <s v="Haier GTS2500W 1110 л белый"/>
    <x v="7"/>
    <n v="1110"/>
    <x v="14"/>
    <s v="белый"/>
    <x v="0"/>
    <n v="1070000"/>
    <n v="1"/>
    <n v="1"/>
    <n v="850936"/>
    <n v="1"/>
    <s v="B"/>
    <n v="1"/>
    <n v="5"/>
    <n v="1"/>
    <s v="No Frost"/>
    <n v="250"/>
    <n v="81"/>
    <n v="85.5"/>
    <n v="7"/>
    <n v="-24"/>
  </r>
  <r>
    <n v="153608532"/>
    <x v="1"/>
    <s v="Platinium PLM-720S 720 л серый"/>
    <x v="19"/>
    <n v="720"/>
    <x v="3"/>
    <s v="серый"/>
    <x v="0"/>
    <n v="278000"/>
    <n v="3"/>
    <n v="5.5555555555555552E-2"/>
    <n v="839970"/>
    <n v="3.8146800397776341E-2"/>
    <s v="A"/>
    <n v="2"/>
    <n v="5"/>
    <n v="1"/>
    <s v="Defrost"/>
    <n v="180"/>
    <n v="80.599999999999994"/>
    <n v="71"/>
    <n v="0"/>
    <n v="-18"/>
  </r>
  <r>
    <n v="100620910"/>
    <x v="1"/>
    <s v="Almagreen BDBC 555 555 л белый"/>
    <x v="20"/>
    <n v="555"/>
    <x v="2"/>
    <s v="белый"/>
    <x v="0"/>
    <n v="267940"/>
    <n v="3"/>
    <n v="3.0303030303030304E-2"/>
    <n v="804000"/>
    <n v="2.8067679553816057E-2"/>
    <s v="B"/>
    <n v="2"/>
    <n v="5"/>
    <n v="4"/>
    <s v="ручное"/>
    <n v="160"/>
    <n v="82.7"/>
    <n v="76"/>
    <n v="2"/>
    <n v="-18"/>
  </r>
  <r>
    <n v="139085554"/>
    <x v="0"/>
    <s v="Friggier SD/SC 326SY 326 л черный"/>
    <x v="9"/>
    <n v="326"/>
    <x v="5"/>
    <s v="черный"/>
    <x v="0"/>
    <n v="199000"/>
    <n v="4"/>
    <n v="9.7560975609756101E-2"/>
    <n v="796000"/>
    <n v="9.6264071213160704E-2"/>
    <s v="A"/>
    <n v="5"/>
    <n v="5"/>
    <n v="2"/>
    <s v="ручное"/>
    <n v="125"/>
    <n v="91"/>
    <n v="62"/>
    <n v="3"/>
    <n v="-18"/>
  </r>
  <r>
    <n v="107031735"/>
    <x v="2"/>
    <s v="ХШН-1/600П 600 л серебристый"/>
    <x v="5"/>
    <n v="600"/>
    <x v="1"/>
    <s v="серебристый"/>
    <x v="0"/>
    <n v="731000"/>
    <n v="1"/>
    <n v="2.1276595744680851E-2"/>
    <n v="731000"/>
    <n v="4.5402514094344065E-2"/>
    <s v="C"/>
    <n v="1"/>
    <n v="5"/>
    <n v="0"/>
    <s v="No Frost"/>
    <n v="70"/>
    <n v="200"/>
    <n v="80"/>
    <n v="0"/>
    <n v="-18"/>
  </r>
  <r>
    <n v="121978785"/>
    <x v="0"/>
    <s v="AVANGARD CQS25L 1000 л серый"/>
    <x v="2"/>
    <n v="1000"/>
    <x v="0"/>
    <s v="серый"/>
    <x v="0"/>
    <n v="679990"/>
    <n v="1"/>
    <n v="5.2631578947368418E-2"/>
    <n v="702550"/>
    <n v="6.077326989949379E-2"/>
    <s v="A"/>
    <n v="2"/>
    <n v="4.9000000000000004"/>
    <n v="47"/>
    <s v="ручное"/>
    <n v="254.5"/>
    <n v="86"/>
    <n v="89"/>
    <n v="5"/>
    <n v="0"/>
  </r>
  <r>
    <n v="134730774"/>
    <x v="0"/>
    <s v="HF6- D2100 800 л черный"/>
    <x v="5"/>
    <n v="800"/>
    <x v="8"/>
    <s v="черный"/>
    <x v="0"/>
    <n v="690000"/>
    <n v="1"/>
    <n v="7.6923076923076927E-2"/>
    <n v="690000"/>
    <n v="0.12447164941712091"/>
    <s v="C"/>
    <n v="1"/>
    <n v="0"/>
    <n v="0"/>
    <s v="ручное"/>
    <n v="210"/>
    <n v="85"/>
    <n v="87"/>
    <n v="4"/>
    <n v="-22"/>
  </r>
  <r>
    <n v="138886743"/>
    <x v="2"/>
    <s v="Foodsense VF-1200L 1200 л стальной"/>
    <x v="21"/>
    <n v="1200"/>
    <x v="6"/>
    <s v="стальной"/>
    <x v="0"/>
    <n v="539065"/>
    <n v="1"/>
    <n v="0.1111111111111111"/>
    <n v="660000"/>
    <n v="0.11652801598340641"/>
    <s v="A"/>
    <n v="3"/>
    <n v="5"/>
    <n v="3"/>
    <s v="Defrost"/>
    <n v="120"/>
    <n v="196"/>
    <n v="76"/>
    <n v="0"/>
    <n v="-14"/>
  </r>
  <r>
    <n v="118087013"/>
    <x v="0"/>
    <s v="Бирюса CF50 500 л белый"/>
    <x v="1"/>
    <n v="500"/>
    <x v="2"/>
    <s v="белый"/>
    <x v="0"/>
    <n v="323451"/>
    <n v="2"/>
    <n v="2.0202020202020204E-2"/>
    <n v="631004"/>
    <n v="2.2028380683054911E-2"/>
    <s v="B"/>
    <n v="1"/>
    <n v="5"/>
    <n v="11"/>
    <s v="ручное"/>
    <n v="155.5"/>
    <n v="88.5"/>
    <n v="66.5"/>
    <n v="6"/>
    <n v="-25"/>
  </r>
  <r>
    <n v="131142601"/>
    <x v="1"/>
    <s v="Rebus RF-650-1 650 л белый"/>
    <x v="22"/>
    <n v="650"/>
    <x v="1"/>
    <s v="белый"/>
    <x v="0"/>
    <n v="500000"/>
    <n v="1"/>
    <n v="2.1276595744680851E-2"/>
    <n v="600000"/>
    <n v="3.7266085439954091E-2"/>
    <s v="C"/>
    <n v="1"/>
    <n v="5"/>
    <n v="3"/>
    <s v="ручное"/>
    <n v="193"/>
    <n v="82.5"/>
    <n v="71"/>
    <n v="0"/>
    <n v="-18"/>
  </r>
  <r>
    <n v="140611569"/>
    <x v="1"/>
    <s v="OUCBOLL BD/BC-1380H 1380 л белый"/>
    <x v="8"/>
    <n v="1380"/>
    <x v="13"/>
    <s v="белый"/>
    <x v="0"/>
    <n v="599988"/>
    <n v="1"/>
    <n v="0.33333333333333331"/>
    <n v="589989"/>
    <n v="0.2743740550776656"/>
    <s v="B"/>
    <n v="2"/>
    <n v="5"/>
    <n v="2"/>
    <s v="ручное"/>
    <n v="260"/>
    <n v="93"/>
    <n v="89"/>
    <n v="0"/>
    <n v="-18"/>
  </r>
  <r>
    <n v="141167073"/>
    <x v="1"/>
    <s v="Hansa FS5021.3W 502 л белый"/>
    <x v="23"/>
    <n v="502"/>
    <x v="2"/>
    <s v="белый"/>
    <x v="0"/>
    <n v="309958"/>
    <n v="2"/>
    <n v="2.0202020202020204E-2"/>
    <n v="579980"/>
    <n v="2.0247130332863478E-2"/>
    <s v="B"/>
    <n v="6"/>
    <n v="4.8"/>
    <n v="11"/>
    <s v="ручное"/>
    <n v="155"/>
    <n v="89"/>
    <n v="77"/>
    <n v="4"/>
    <n v="0"/>
  </r>
  <r>
    <n v="110833716"/>
    <x v="2"/>
    <s v="Polair CB105-S 500 л белый"/>
    <x v="11"/>
    <n v="500"/>
    <x v="2"/>
    <s v="белый"/>
    <x v="0"/>
    <n v="571500"/>
    <n v="1"/>
    <n v="1.0101010101010102E-2"/>
    <n v="578200"/>
    <n v="2.0184990445294086E-2"/>
    <s v="A"/>
    <n v="4"/>
    <n v="5"/>
    <n v="3"/>
    <s v="ручное"/>
    <n v="69.7"/>
    <n v="196"/>
    <n v="69.5"/>
    <n v="0"/>
    <n v="-18"/>
  </r>
  <r>
    <n v="117946838"/>
    <x v="0"/>
    <s v="Leadbros CO-20SN 800 л серый"/>
    <x v="13"/>
    <n v="800"/>
    <x v="8"/>
    <s v="серый"/>
    <x v="0"/>
    <n v="574600"/>
    <n v="1"/>
    <n v="7.6923076923076927E-2"/>
    <n v="574600"/>
    <n v="0.10365421703634446"/>
    <s v="B"/>
    <n v="2"/>
    <n v="5"/>
    <n v="1"/>
    <s v="ручное"/>
    <n v="200"/>
    <n v="85"/>
    <n v="86"/>
    <n v="4"/>
    <n v="0"/>
  </r>
  <r>
    <n v="148881342"/>
    <x v="0"/>
    <s v="FROX SD-SC-1250BY 1250 л серый"/>
    <x v="17"/>
    <n v="1250"/>
    <x v="6"/>
    <s v="серый"/>
    <x v="0"/>
    <n v="556000"/>
    <n v="1"/>
    <n v="0.1111111111111111"/>
    <n v="556000"/>
    <n v="9.8166025586021152E-2"/>
    <s v="A"/>
    <n v="1"/>
    <n v="5"/>
    <n v="4"/>
    <s v="Defrost"/>
    <n v="250"/>
    <n v="84"/>
    <n v="75"/>
    <n v="9"/>
    <n v="-22"/>
  </r>
  <r>
    <n v="117503828"/>
    <x v="0"/>
    <s v="MEISHIDIANQI LG-1000L 1000 л серый"/>
    <x v="6"/>
    <n v="1000"/>
    <x v="0"/>
    <s v="серый"/>
    <x v="0"/>
    <n v="528790"/>
    <n v="1"/>
    <n v="5.2631578947368418E-2"/>
    <n v="541900"/>
    <n v="4.6876428664914503E-2"/>
    <s v="A"/>
    <n v="3"/>
    <n v="4.8"/>
    <n v="6"/>
    <s v="No Frost"/>
    <n v="200"/>
    <n v="85"/>
    <n v="75"/>
    <n v="9"/>
    <n v="-18"/>
  </r>
  <r>
    <n v="114858756"/>
    <x v="2"/>
    <s v="Haier HUF90RU 90 л белый"/>
    <x v="7"/>
    <n v="90"/>
    <x v="15"/>
    <s v="белый"/>
    <x v="0"/>
    <n v="339990"/>
    <n v="2"/>
    <n v="0.66666666666666663"/>
    <n v="539021"/>
    <n v="0.61652708610225948"/>
    <s v="B"/>
    <n v="2"/>
    <n v="5"/>
    <n v="2"/>
    <s v="ручное"/>
    <n v="59.5"/>
    <n v="82"/>
    <n v="54.5"/>
    <n v="0"/>
    <n v="-24"/>
  </r>
  <r>
    <n v="117232074"/>
    <x v="0"/>
    <s v="Бирюса CF41 410 л белый"/>
    <x v="1"/>
    <n v="410"/>
    <x v="12"/>
    <s v="белый"/>
    <x v="0"/>
    <n v="263132"/>
    <n v="2"/>
    <n v="0.14285714285714285"/>
    <n v="526182"/>
    <n v="0.15133427208658617"/>
    <s v="A"/>
    <n v="5"/>
    <n v="5"/>
    <n v="54"/>
    <s v="ручное"/>
    <n v="132"/>
    <n v="88.5"/>
    <n v="66.5"/>
    <n v="5"/>
    <n v="-25"/>
  </r>
  <r>
    <n v="142526767"/>
    <x v="0"/>
    <s v="Морозильник LUX 2000 680 л темно‑серый"/>
    <x v="24"/>
    <n v="680"/>
    <x v="1"/>
    <s v="темно‑серый"/>
    <x v="0"/>
    <n v="450000"/>
    <n v="1"/>
    <n v="2.1276595744680851E-2"/>
    <n v="525504"/>
    <n v="3.2639128271729385E-2"/>
    <s v="C"/>
    <n v="1"/>
    <n v="0"/>
    <n v="0"/>
    <s v="Defrost"/>
    <n v="200"/>
    <n v="88"/>
    <n v="82"/>
    <n v="6"/>
    <n v="-20"/>
  </r>
  <r>
    <n v="145145986"/>
    <x v="1"/>
    <s v="AVANGARD BD/BC-1380 1380 л белый"/>
    <x v="2"/>
    <n v="1380"/>
    <x v="13"/>
    <s v="белый"/>
    <x v="0"/>
    <n v="529990"/>
    <n v="1"/>
    <n v="0.33333333333333331"/>
    <n v="519990"/>
    <n v="0.24182105920590949"/>
    <s v="B"/>
    <n v="1"/>
    <n v="4.7"/>
    <n v="2"/>
    <s v="ручное"/>
    <n v="260"/>
    <n v="93.5"/>
    <n v="100"/>
    <n v="1"/>
    <n v="-35"/>
  </r>
  <r>
    <n v="114109997"/>
    <x v="1"/>
    <s v="FROSTOR F 800 SD 800 л белый, серый"/>
    <x v="18"/>
    <n v="800"/>
    <x v="8"/>
    <s v="белый, серый"/>
    <x v="0"/>
    <n v="539500"/>
    <n v="1"/>
    <n v="7.6923076923076927E-2"/>
    <n v="501826"/>
    <n v="9.0526246290429158E-2"/>
    <s v="B"/>
    <n v="2"/>
    <n v="4.43"/>
    <n v="4"/>
    <s v="ручное"/>
    <n v="200"/>
    <n v="84"/>
    <n v="60"/>
    <n v="8"/>
    <n v="-22"/>
  </r>
  <r>
    <n v="141583649"/>
    <x v="1"/>
    <s v="ORION BD-560S 560 л серый"/>
    <x v="4"/>
    <n v="560"/>
    <x v="2"/>
    <s v="серый"/>
    <x v="0"/>
    <n v="258990"/>
    <n v="2"/>
    <n v="2.0202020202020204E-2"/>
    <n v="480545"/>
    <n v="1.6775849591030519E-2"/>
    <s v="A"/>
    <n v="1"/>
    <n v="4.7"/>
    <n v="21"/>
    <s v="ручное"/>
    <n v="160"/>
    <n v="84"/>
    <n v="67.400000000000006"/>
    <n v="2"/>
    <n v="-24"/>
  </r>
  <r>
    <n v="2800214"/>
    <x v="1"/>
    <s v="FROSTOR F800SD 650 л белый"/>
    <x v="18"/>
    <n v="650"/>
    <x v="1"/>
    <s v="белый"/>
    <x v="0"/>
    <n v="580000"/>
    <n v="1"/>
    <n v="2.1276595744680851E-2"/>
    <n v="480000"/>
    <n v="2.981286835196327E-2"/>
    <s v="C"/>
    <n v="1"/>
    <n v="0"/>
    <n v="0"/>
    <s v="ручное"/>
    <n v="182"/>
    <n v="92"/>
    <n v="62"/>
    <n v="4"/>
    <n v="-22"/>
  </r>
  <r>
    <n v="132115831"/>
    <x v="0"/>
    <s v="AVANGARD SD/SC-328Y (A1u) 328 л белый, серый"/>
    <x v="2"/>
    <n v="328"/>
    <x v="5"/>
    <s v="белый, серый"/>
    <x v="0"/>
    <n v="229975"/>
    <n v="2"/>
    <n v="4.878048780487805E-2"/>
    <n v="432062"/>
    <n v="5.2251315498116381E-2"/>
    <s v="A"/>
    <n v="4"/>
    <n v="5"/>
    <n v="40"/>
    <s v="ручное"/>
    <n v="129"/>
    <n v="84.1"/>
    <n v="66"/>
    <n v="4"/>
    <n v="-18"/>
  </r>
  <r>
    <n v="132777674"/>
    <x v="0"/>
    <s v="AVANGARD SD/SC-1800RS 647 л белый, серый"/>
    <x v="2"/>
    <n v="647"/>
    <x v="1"/>
    <s v="белый, серый"/>
    <x v="0"/>
    <n v="429990"/>
    <n v="1"/>
    <n v="2.1276595744680851E-2"/>
    <n v="430990"/>
    <n v="2.6768850272943019E-2"/>
    <s v="A"/>
    <n v="1"/>
    <n v="5"/>
    <n v="2"/>
    <s v="Defrost"/>
    <n v="182"/>
    <n v="82.2"/>
    <n v="82.2"/>
    <n v="6"/>
    <n v="-25"/>
  </r>
  <r>
    <n v="148807914"/>
    <x v="0"/>
    <s v="Aucma SD-330 330 л белый"/>
    <x v="14"/>
    <n v="330"/>
    <x v="5"/>
    <s v="белый"/>
    <x v="0"/>
    <n v="214900"/>
    <n v="2"/>
    <n v="4.878048780487805E-2"/>
    <n v="430000"/>
    <n v="5.2001948017159676E-2"/>
    <s v="C"/>
    <n v="2"/>
    <n v="4.5"/>
    <n v="1"/>
    <s v="Defrost"/>
    <n v="130"/>
    <n v="89"/>
    <n v="73.599999999999994"/>
    <n v="5"/>
    <n v="0"/>
  </r>
  <r>
    <n v="138886748"/>
    <x v="2"/>
    <s v="Foodsense VF-600L 600 л стальной"/>
    <x v="21"/>
    <n v="600"/>
    <x v="1"/>
    <s v="стальной"/>
    <x v="0"/>
    <n v="425217"/>
    <n v="1"/>
    <n v="2.1276595744680851E-2"/>
    <n v="429999"/>
    <n v="2.6707299121824696E-2"/>
    <s v="C"/>
    <n v="6"/>
    <n v="5"/>
    <n v="4"/>
    <s v="ручное"/>
    <n v="60"/>
    <n v="196"/>
    <n v="76"/>
    <n v="0"/>
    <n v="-14"/>
  </r>
  <r>
    <n v="148880716"/>
    <x v="0"/>
    <s v="FROX SD-SC-700BY 725 л серый"/>
    <x v="17"/>
    <n v="725"/>
    <x v="3"/>
    <s v="серый"/>
    <x v="0"/>
    <n v="420000"/>
    <n v="1"/>
    <n v="1.8518518518518517E-2"/>
    <n v="420000"/>
    <n v="1.9074081416081603E-2"/>
    <s v="B"/>
    <n v="1"/>
    <n v="0"/>
    <n v="0"/>
    <s v="Defrost"/>
    <n v="200"/>
    <n v="85"/>
    <n v="75"/>
    <n v="6"/>
    <n v="-22"/>
  </r>
  <r>
    <n v="137868518"/>
    <x v="0"/>
    <s v="Friggier SD265BY 265 л черный"/>
    <x v="9"/>
    <n v="265"/>
    <x v="4"/>
    <s v="черный"/>
    <x v="0"/>
    <n v="205000"/>
    <n v="2"/>
    <n v="2.4096385542168676E-2"/>
    <n v="416114"/>
    <n v="3.1503573086057661E-2"/>
    <s v="C"/>
    <n v="4"/>
    <n v="0"/>
    <n v="0"/>
    <s v="ручное"/>
    <n v="100"/>
    <n v="90"/>
    <n v="64"/>
    <n v="3"/>
    <n v="-18"/>
  </r>
  <r>
    <n v="110555381"/>
    <x v="1"/>
    <s v="FROSTOR F 700 S 700 л белый-серый"/>
    <x v="18"/>
    <n v="700"/>
    <x v="3"/>
    <s v="белый-серый"/>
    <x v="0"/>
    <n v="467500"/>
    <n v="1"/>
    <n v="1.8518518518518517E-2"/>
    <n v="404920"/>
    <n v="1.8389231064285149E-2"/>
    <s v="C"/>
    <n v="2"/>
    <n v="4.8899999999999997"/>
    <n v="2"/>
    <s v="ручное"/>
    <n v="180"/>
    <n v="84"/>
    <n v="60"/>
    <n v="3"/>
    <n v="-22"/>
  </r>
  <r>
    <n v="142526631"/>
    <x v="0"/>
    <s v="LUX 700 700 л серый"/>
    <x v="24"/>
    <n v="700"/>
    <x v="3"/>
    <s v="серый"/>
    <x v="0"/>
    <n v="374999"/>
    <n v="1"/>
    <n v="1.8518518518518517E-2"/>
    <n v="395000"/>
    <n v="1.7938719427029126E-2"/>
    <s v="A"/>
    <n v="1"/>
    <n v="5"/>
    <n v="2"/>
    <s v="Defrost"/>
    <n v="200"/>
    <n v="80"/>
    <n v="76"/>
    <n v="7"/>
    <n v="-24"/>
  </r>
  <r>
    <n v="121205888"/>
    <x v="2"/>
    <s v="AOLIEGE HZRL4 800 л серебристый"/>
    <x v="25"/>
    <n v="800"/>
    <x v="8"/>
    <s v="серебристый"/>
    <x v="0"/>
    <n v="391900"/>
    <n v="1"/>
    <n v="7.6923076923076927E-2"/>
    <n v="391900"/>
    <n v="7.0696288995028528E-2"/>
    <s v="B"/>
    <n v="1"/>
    <n v="5"/>
    <n v="2"/>
    <s v="Defrost"/>
    <n v="60"/>
    <n v="196"/>
    <n v="76"/>
    <n v="0"/>
    <n v="-14"/>
  </r>
  <r>
    <n v="100619981"/>
    <x v="0"/>
    <s v="FROSTOR Gellar FG 700 C 590 л красный"/>
    <x v="18"/>
    <n v="590"/>
    <x v="2"/>
    <s v="красный"/>
    <x v="0"/>
    <n v="410000"/>
    <n v="1"/>
    <n v="1.0101010101010102E-2"/>
    <n v="390000"/>
    <n v="1.3614919186552565E-2"/>
    <s v="C"/>
    <n v="2"/>
    <n v="4.8499999999999996"/>
    <n v="42"/>
    <s v="ручное"/>
    <n v="181"/>
    <n v="85"/>
    <n v="60"/>
    <n v="8"/>
    <n v="-25"/>
  </r>
  <r>
    <n v="130917146"/>
    <x v="0"/>
    <s v="XINGX SD/SC-500BY 500 л серый"/>
    <x v="26"/>
    <n v="500"/>
    <x v="2"/>
    <s v="серый"/>
    <x v="0"/>
    <n v="325000"/>
    <n v="1"/>
    <n v="1.0101010101010102E-2"/>
    <n v="388752"/>
    <n v="1.3571351445155597E-2"/>
    <s v="C"/>
    <n v="1"/>
    <n v="4"/>
    <n v="2"/>
    <s v="Defrost"/>
    <n v="150"/>
    <n v="86"/>
    <n v="76"/>
    <n v="5"/>
    <n v="-18"/>
  </r>
  <r>
    <n v="154652597"/>
    <x v="0"/>
    <s v="Haibaite SD/SC-2000QY 718 л серый"/>
    <x v="27"/>
    <n v="718"/>
    <x v="3"/>
    <s v="серый"/>
    <x v="0"/>
    <n v="370000"/>
    <n v="1"/>
    <n v="1.8518518518518517E-2"/>
    <n v="370000"/>
    <n v="1.6803357437976649E-2"/>
    <s v="C"/>
    <n v="1"/>
    <n v="0"/>
    <n v="0"/>
    <s v="ручное"/>
    <n v="200"/>
    <n v="85"/>
    <n v="75"/>
    <n v="6"/>
    <n v="-20"/>
  </r>
  <r>
    <n v="122064634"/>
    <x v="0"/>
    <s v="Muxxed SD/SC-318 318 л желтый"/>
    <x v="3"/>
    <n v="318"/>
    <x v="5"/>
    <s v="желтый"/>
    <x v="0"/>
    <n v="990000"/>
    <n v="2"/>
    <n v="4.878048780487805E-2"/>
    <n v="364800"/>
    <n v="4.4117001480604302E-2"/>
    <s v="C"/>
    <n v="1"/>
    <n v="4.8"/>
    <n v="27"/>
    <s v="No Frost"/>
    <n v="127"/>
    <n v="83"/>
    <n v="60"/>
    <n v="5"/>
    <n v="-18"/>
  </r>
  <r>
    <n v="143852360"/>
    <x v="0"/>
    <s v="AOLIEGE SD/SC-105Y 105 л белый"/>
    <x v="25"/>
    <n v="105"/>
    <x v="11"/>
    <s v="белый"/>
    <x v="0"/>
    <n v="90800"/>
    <n v="4"/>
    <n v="0.16666666666666666"/>
    <n v="363200"/>
    <n v="0.14195823410523123"/>
    <s v="B"/>
    <n v="2"/>
    <n v="4.5999999999999996"/>
    <n v="5"/>
    <s v="ручное"/>
    <n v="58"/>
    <n v="78"/>
    <n v="63"/>
    <n v="2"/>
    <n v="-18"/>
  </r>
  <r>
    <n v="146322919"/>
    <x v="0"/>
    <s v="Витринный морозильник LUX-квадрат 700 л темно-синий"/>
    <x v="5"/>
    <n v="700"/>
    <x v="3"/>
    <s v="темно-синий"/>
    <x v="0"/>
    <n v="395000"/>
    <n v="1"/>
    <n v="1.8518518518518517E-2"/>
    <n v="360000"/>
    <n v="1.634921264235566E-2"/>
    <s v="C"/>
    <n v="1"/>
    <n v="5"/>
    <n v="0"/>
    <s v="Defrost"/>
    <n v="200"/>
    <n v="88"/>
    <n v="82"/>
    <n v="6"/>
    <n v="-20"/>
  </r>
  <r>
    <n v="113187256"/>
    <x v="0"/>
    <s v="FROSTOR F 500 C 500 л серый-белый"/>
    <x v="18"/>
    <n v="500"/>
    <x v="2"/>
    <s v="серый-белый"/>
    <x v="0"/>
    <n v="395000"/>
    <n v="1"/>
    <n v="1.0101010101010102E-2"/>
    <n v="359285"/>
    <n v="1.254265702548856E-2"/>
    <s v="C"/>
    <n v="1"/>
    <n v="4.3"/>
    <n v="4"/>
    <s v="ручное"/>
    <n v="140"/>
    <n v="84"/>
    <n v="60"/>
    <n v="5"/>
    <n v="-22"/>
  </r>
  <r>
    <n v="100620922"/>
    <x v="1"/>
    <s v="Морозильник Almagreen BDBC 700 700 л белый"/>
    <x v="20"/>
    <n v="700"/>
    <x v="3"/>
    <s v="белый"/>
    <x v="0"/>
    <n v="350000"/>
    <n v="1"/>
    <n v="1.8518518518518517E-2"/>
    <n v="350000"/>
    <n v="1.5895067846734671E-2"/>
    <s v="C"/>
    <n v="1"/>
    <n v="5"/>
    <n v="18"/>
    <s v="ручное"/>
    <n v="180"/>
    <n v="82.7"/>
    <n v="76"/>
    <n v="0"/>
    <n v="-18"/>
  </r>
  <r>
    <n v="119264283"/>
    <x v="0"/>
    <s v="Muxxed SD/SC-105Y 105 л белый"/>
    <x v="3"/>
    <n v="105"/>
    <x v="11"/>
    <s v="белый"/>
    <x v="0"/>
    <n v="86700"/>
    <n v="4"/>
    <n v="0.16666666666666666"/>
    <n v="349246"/>
    <n v="0.13650425503390856"/>
    <s v="B"/>
    <n v="1"/>
    <n v="4.9000000000000004"/>
    <n v="13"/>
    <s v="ручное"/>
    <n v="60"/>
    <n v="80"/>
    <n v="55"/>
    <n v="1"/>
    <n v="-18"/>
  </r>
  <r>
    <n v="141583677"/>
    <x v="1"/>
    <s v="ORION BD 660S 660 л серый"/>
    <x v="4"/>
    <n v="660"/>
    <x v="1"/>
    <s v="серый"/>
    <x v="0"/>
    <n v="263990"/>
    <n v="1"/>
    <n v="2.1276595744680851E-2"/>
    <n v="346434"/>
    <n v="2.1517065072175091E-2"/>
    <s v="A"/>
    <n v="1"/>
    <n v="4.7"/>
    <n v="11"/>
    <s v="ручное"/>
    <n v="180"/>
    <n v="84"/>
    <n v="67.400000000000006"/>
    <n v="2"/>
    <n v="-24"/>
  </r>
  <r>
    <n v="106253836"/>
    <x v="0"/>
    <s v="FROSTOR Gellar FG 500 C 500 л красный"/>
    <x v="18"/>
    <n v="500"/>
    <x v="2"/>
    <s v="красный"/>
    <x v="0"/>
    <n v="400000"/>
    <n v="1"/>
    <n v="1.0101010101010102E-2"/>
    <n v="341000"/>
    <n v="1.1904326775934422E-2"/>
    <s v="C"/>
    <n v="1"/>
    <n v="0"/>
    <n v="0"/>
    <s v="No Frost"/>
    <n v="141"/>
    <n v="85"/>
    <n v="60"/>
    <n v="7"/>
    <n v="0"/>
  </r>
  <r>
    <n v="103923411"/>
    <x v="2"/>
    <s v="BEKO BU1200HCA 96 л белый"/>
    <x v="28"/>
    <n v="96"/>
    <x v="15"/>
    <s v="белый"/>
    <x v="0"/>
    <n v="302770"/>
    <n v="1"/>
    <n v="0.33333333333333331"/>
    <n v="335265"/>
    <n v="0.38347291389774057"/>
    <s v="C"/>
    <n v="6"/>
    <n v="4.9000000000000004"/>
    <n v="14"/>
    <s v="ручное"/>
    <n v="59.5"/>
    <n v="81.8"/>
    <n v="54.5"/>
    <n v="0"/>
    <n v="-24"/>
  </r>
  <r>
    <n v="145169183"/>
    <x v="1"/>
    <s v="SABA HD-700 700 л белый"/>
    <x v="29"/>
    <n v="700"/>
    <x v="3"/>
    <s v="белый"/>
    <x v="0"/>
    <n v="309900"/>
    <n v="1"/>
    <n v="1.8518518518518517E-2"/>
    <n v="319990"/>
    <n v="1.4532179315076077E-2"/>
    <s v="A"/>
    <n v="5"/>
    <n v="5"/>
    <n v="2"/>
    <s v="ручное"/>
    <n v="203"/>
    <n v="91"/>
    <n v="76"/>
    <n v="3"/>
    <n v="-18"/>
  </r>
  <r>
    <n v="116988507"/>
    <x v="1"/>
    <s v="Haier HCE520RFC 516 л белый"/>
    <x v="7"/>
    <n v="516"/>
    <x v="2"/>
    <s v="белый"/>
    <x v="0"/>
    <n v="350288"/>
    <n v="1"/>
    <n v="1.0101010101010102E-2"/>
    <n v="315000"/>
    <n v="1.0996665496830918E-2"/>
    <s v="C"/>
    <n v="2"/>
    <n v="5"/>
    <n v="4"/>
    <s v="ручное"/>
    <n v="164"/>
    <n v="84.5"/>
    <n v="74.5"/>
    <n v="0"/>
    <n v="-29"/>
  </r>
  <r>
    <n v="114881099"/>
    <x v="0"/>
    <s v="Haier SD-336AELUA 331 л белый"/>
    <x v="7"/>
    <n v="331"/>
    <x v="5"/>
    <s v="белый"/>
    <x v="0"/>
    <n v="403700"/>
    <n v="1"/>
    <n v="2.4390243902439025E-2"/>
    <n v="312675"/>
    <n v="3.781327696805907E-2"/>
    <s v="C"/>
    <n v="1"/>
    <n v="0"/>
    <n v="0"/>
    <s v="ручное"/>
    <n v="107"/>
    <n v="85"/>
    <n v="65"/>
    <n v="4"/>
    <n v="-24"/>
  </r>
  <r>
    <n v="140081934"/>
    <x v="0"/>
    <s v="Platinium PLSD-570 445 л белый"/>
    <x v="19"/>
    <n v="445"/>
    <x v="12"/>
    <s v="белый"/>
    <x v="0"/>
    <n v="285990"/>
    <n v="1"/>
    <n v="7.1428571428571425E-2"/>
    <n v="301000"/>
    <n v="8.6570076319719108E-2"/>
    <s v="C"/>
    <n v="4"/>
    <n v="0"/>
    <n v="0"/>
    <s v="ручное"/>
    <n v="153"/>
    <n v="85"/>
    <n v="68"/>
    <n v="5"/>
    <n v="-18"/>
  </r>
  <r>
    <n v="114860975"/>
    <x v="0"/>
    <s v="Haier SD-516AELUA 513 л белый"/>
    <x v="7"/>
    <n v="513"/>
    <x v="2"/>
    <s v="белый"/>
    <x v="0"/>
    <n v="491000"/>
    <n v="1"/>
    <n v="1.0101010101010102E-2"/>
    <n v="299990"/>
    <n v="1.0472665658394626E-2"/>
    <s v="B"/>
    <n v="1"/>
    <n v="5"/>
    <n v="2"/>
    <s v="ручное"/>
    <n v="155"/>
    <n v="84.5"/>
    <n v="65"/>
    <n v="4"/>
    <n v="-24"/>
  </r>
  <r>
    <n v="106696255"/>
    <x v="0"/>
    <s v="Морозильник Leadbros CI-15A 500 л серый"/>
    <x v="13"/>
    <n v="500"/>
    <x v="2"/>
    <s v="серый"/>
    <x v="0"/>
    <n v="295000"/>
    <n v="1"/>
    <n v="1.0101010101010102E-2"/>
    <n v="295000"/>
    <n v="1.0298464512905146E-2"/>
    <s v="C"/>
    <n v="1"/>
    <n v="5"/>
    <n v="12"/>
    <s v="ручное"/>
    <n v="147.5"/>
    <n v="85.8"/>
    <n v="75.7"/>
    <n v="5"/>
    <n v="-20"/>
  </r>
  <r>
    <n v="148982330"/>
    <x v="0"/>
    <s v="Haier SD-325FPEL 320 л белый"/>
    <x v="7"/>
    <n v="320"/>
    <x v="5"/>
    <s v="белый"/>
    <x v="0"/>
    <n v="259990"/>
    <n v="1"/>
    <n v="2.4390243902439025E-2"/>
    <n v="289251"/>
    <n v="3.4980501083515005E-2"/>
    <s v="C"/>
    <n v="1"/>
    <n v="0"/>
    <n v="0"/>
    <s v="ручное"/>
    <n v="107.5"/>
    <n v="81.8"/>
    <n v="65"/>
    <n v="4"/>
    <n v="-24"/>
  </r>
  <r>
    <n v="116214532"/>
    <x v="1"/>
    <s v="XINGX BC/BD501 501 л белый"/>
    <x v="26"/>
    <n v="501"/>
    <x v="2"/>
    <s v="белый"/>
    <x v="0"/>
    <n v="288888"/>
    <n v="1"/>
    <n v="1.0101010101010102E-2"/>
    <n v="285948"/>
    <n v="9.982458747580341E-3"/>
    <s v="C"/>
    <n v="2"/>
    <n v="5"/>
    <n v="5"/>
    <s v="ручное"/>
    <n v="153"/>
    <n v="88"/>
    <n v="67"/>
    <n v="1"/>
    <n v="-24"/>
  </r>
  <r>
    <n v="104775274"/>
    <x v="1"/>
    <s v="Xing BC/BD 500 500 л белый"/>
    <x v="30"/>
    <n v="500"/>
    <x v="2"/>
    <s v="белый"/>
    <x v="0"/>
    <n v="279345"/>
    <n v="1"/>
    <n v="1.0101010101010102E-2"/>
    <n v="279999"/>
    <n v="9.7747788649116193E-3"/>
    <s v="B"/>
    <n v="3"/>
    <n v="5"/>
    <n v="8"/>
    <s v="ручное"/>
    <n v="153"/>
    <n v="80"/>
    <n v="75"/>
    <n v="0"/>
    <n v="-24"/>
  </r>
  <r>
    <n v="154154972"/>
    <x v="0"/>
    <s v="Friggier CI-15A 500 л темно‑серый"/>
    <x v="9"/>
    <n v="500"/>
    <x v="2"/>
    <s v="темно‑серый"/>
    <x v="0"/>
    <n v="295000"/>
    <n v="1"/>
    <n v="1.0101010101010102E-2"/>
    <n v="267304"/>
    <n v="9.3315957903647353E-3"/>
    <s v="C"/>
    <n v="2"/>
    <n v="0"/>
    <n v="0"/>
    <s v="ручное"/>
    <n v="147"/>
    <n v="85"/>
    <n v="75"/>
    <n v="5"/>
    <n v="-18"/>
  </r>
  <r>
    <n v="145856193"/>
    <x v="1"/>
    <s v="Морозильник Kumtel HCF-510 510 л белый"/>
    <x v="31"/>
    <n v="510"/>
    <x v="2"/>
    <s v="белый"/>
    <x v="0"/>
    <n v="269990"/>
    <n v="1"/>
    <n v="1.0101010101010102E-2"/>
    <n v="259990"/>
    <n v="9.0762636905430804E-3"/>
    <s v="C"/>
    <n v="1"/>
    <n v="5"/>
    <n v="3"/>
    <s v="Defrost"/>
    <n v="153"/>
    <n v="85"/>
    <n v="75"/>
    <n v="0"/>
    <n v="0"/>
  </r>
  <r>
    <n v="103353026"/>
    <x v="1"/>
    <s v="Морозильник Leadbros BC/BD-558 558 л белый"/>
    <x v="13"/>
    <n v="558"/>
    <x v="2"/>
    <s v="белый"/>
    <x v="0"/>
    <n v="268500"/>
    <n v="1"/>
    <n v="1.0101010101010102E-2"/>
    <n v="255317"/>
    <n v="8.9131290306488243E-3"/>
    <s v="C"/>
    <n v="1"/>
    <n v="4.9000000000000004"/>
    <n v="24"/>
    <s v="ручное"/>
    <n v="157"/>
    <n v="86"/>
    <n v="80"/>
    <n v="1"/>
    <n v="-18"/>
  </r>
  <r>
    <n v="153721974"/>
    <x v="1"/>
    <s v="Rebus RIF-600W 600 л белый"/>
    <x v="22"/>
    <n v="600"/>
    <x v="1"/>
    <s v="белый"/>
    <x v="0"/>
    <n v="230990"/>
    <n v="1"/>
    <n v="2.1276595744680851E-2"/>
    <n v="251182"/>
    <n v="1.5600949788297579E-2"/>
    <s v="B"/>
    <n v="4"/>
    <n v="5"/>
    <n v="1"/>
    <s v="Defrost"/>
    <n v="168.5"/>
    <n v="82.5"/>
    <n v="71"/>
    <n v="0"/>
    <n v="-18"/>
  </r>
  <r>
    <n v="117689613"/>
    <x v="0"/>
    <s v="Бирюса CF32 320 л белый"/>
    <x v="1"/>
    <n v="320"/>
    <x v="5"/>
    <s v="белый"/>
    <x v="0"/>
    <n v="236266"/>
    <n v="1"/>
    <n v="2.4390243902439025E-2"/>
    <n v="250600"/>
    <n v="3.0306251565349336E-2"/>
    <s v="B"/>
    <n v="7"/>
    <n v="4.8"/>
    <n v="15"/>
    <s v="ручное"/>
    <n v="108.5"/>
    <n v="88.5"/>
    <n v="66.5"/>
    <n v="4"/>
    <n v="-25"/>
  </r>
  <r>
    <n v="116138932"/>
    <x v="0"/>
    <s v="SAMGA SC/SD-338 338 л серебристый"/>
    <x v="32"/>
    <n v="338"/>
    <x v="5"/>
    <s v="серебристый"/>
    <x v="0"/>
    <n v="199000"/>
    <n v="1"/>
    <n v="2.4390243902439025E-2"/>
    <n v="238301"/>
    <n v="2.8818874917295741E-2"/>
    <s v="A"/>
    <n v="2"/>
    <n v="5"/>
    <n v="81"/>
    <s v="ручное"/>
    <n v="130"/>
    <n v="85"/>
    <n v="65"/>
    <n v="5"/>
    <n v="-24"/>
  </r>
  <r>
    <n v="140308862"/>
    <x v="0"/>
    <s v="Platinium PLSD-450 420 л белый"/>
    <x v="19"/>
    <n v="420"/>
    <x v="12"/>
    <s v="белый"/>
    <x v="0"/>
    <n v="236980"/>
    <n v="1"/>
    <n v="7.1428571428571425E-2"/>
    <n v="224911"/>
    <n v="6.4686253937356622E-2"/>
    <s v="B"/>
    <n v="5"/>
    <n v="5"/>
    <n v="8"/>
    <s v="Defrost"/>
    <n v="131"/>
    <n v="83"/>
    <n v="69"/>
    <n v="6"/>
    <n v="-18"/>
  </r>
  <r>
    <n v="123748471"/>
    <x v="0"/>
    <s v="Muxxed SD/SC-112B 112 л серебристый"/>
    <x v="3"/>
    <n v="112"/>
    <x v="11"/>
    <s v="серебристый"/>
    <x v="0"/>
    <n v="99300"/>
    <n v="2"/>
    <n v="8.3333333333333329E-2"/>
    <n v="220000"/>
    <n v="8.5987917134225961E-2"/>
    <s v="C"/>
    <n v="1"/>
    <n v="0"/>
    <n v="0"/>
    <s v="ручное"/>
    <n v="66"/>
    <n v="82"/>
    <n v="48"/>
    <n v="2"/>
    <n v="-18"/>
  </r>
  <r>
    <n v="121279939"/>
    <x v="0"/>
    <s v="Muxxed SD/SC-112B 122 л белый"/>
    <x v="3"/>
    <n v="122"/>
    <x v="11"/>
    <s v="белый"/>
    <x v="0"/>
    <n v="99300"/>
    <n v="2"/>
    <n v="8.3333333333333329E-2"/>
    <n v="220000"/>
    <n v="8.5987917134225961E-2"/>
    <s v="C"/>
    <n v="2"/>
    <n v="5"/>
    <n v="1"/>
    <s v="ручное"/>
    <n v="66"/>
    <n v="81"/>
    <n v="48"/>
    <n v="2"/>
    <n v="-18"/>
  </r>
  <r>
    <n v="154507359"/>
    <x v="1"/>
    <s v="Морозильник XINGX BC/BD501AS 501 л белый"/>
    <x v="26"/>
    <n v="501"/>
    <x v="2"/>
    <s v="белый"/>
    <x v="0"/>
    <n v="214700"/>
    <n v="1"/>
    <n v="1.0101010101010102E-2"/>
    <n v="214700"/>
    <n v="7.4951875624431688E-3"/>
    <s v="C"/>
    <n v="1"/>
    <n v="0"/>
    <n v="0"/>
    <s v="ручное"/>
    <n v="153"/>
    <n v="88"/>
    <n v="67"/>
    <n v="1"/>
    <n v="-24"/>
  </r>
  <r>
    <n v="153336154"/>
    <x v="1"/>
    <s v="Rebus RIF-550W 550 л белый"/>
    <x v="22"/>
    <n v="550"/>
    <x v="2"/>
    <s v="белый"/>
    <x v="0"/>
    <n v="249990"/>
    <n v="1"/>
    <n v="1.0101010101010102E-2"/>
    <n v="209990"/>
    <n v="7.3307612307286496E-3"/>
    <s v="B"/>
    <n v="1"/>
    <n v="5"/>
    <n v="2"/>
    <s v="Defrost"/>
    <n v="153.5"/>
    <n v="82.5"/>
    <n v="74"/>
    <n v="0"/>
    <n v="-18"/>
  </r>
  <r>
    <n v="121279875"/>
    <x v="0"/>
    <s v="Морозильник Friggier J SD-303B 303 л серый"/>
    <x v="9"/>
    <n v="303"/>
    <x v="5"/>
    <s v="серый"/>
    <x v="0"/>
    <n v="192600"/>
    <n v="1"/>
    <n v="2.4390243902439025E-2"/>
    <n v="192600"/>
    <n v="2.3292035321174312E-2"/>
    <s v="C"/>
    <n v="1"/>
    <n v="5"/>
    <n v="0"/>
    <s v="No Frost"/>
    <n v="121"/>
    <n v="80"/>
    <n v="60"/>
    <n v="1"/>
    <n v="-18"/>
  </r>
  <r>
    <n v="117729101"/>
    <x v="0"/>
    <s v="Almagreen SC/SD-380 380 л серый"/>
    <x v="20"/>
    <n v="380"/>
    <x v="5"/>
    <s v="серый"/>
    <x v="0"/>
    <n v="189990"/>
    <n v="1"/>
    <n v="2.4390243902439025E-2"/>
    <n v="174602"/>
    <n v="2.11154514597491E-2"/>
    <s v="C"/>
    <n v="1"/>
    <n v="4.8"/>
    <n v="16"/>
    <s v="Defrost"/>
    <n v="122"/>
    <n v="90"/>
    <n v="70"/>
    <n v="4"/>
    <n v="-18"/>
  </r>
  <r>
    <n v="121428413"/>
    <x v="0"/>
    <s v="Muxxed SD/SC-318 300 л белый"/>
    <x v="3"/>
    <n v="300"/>
    <x v="5"/>
    <s v="белый"/>
    <x v="0"/>
    <n v="179900"/>
    <n v="1"/>
    <n v="2.4390243902439025E-2"/>
    <n v="168700"/>
    <n v="2.0401694489522879E-2"/>
    <s v="C"/>
    <n v="2"/>
    <n v="4.8"/>
    <n v="62"/>
    <s v="ручное"/>
    <n v="130"/>
    <n v="85"/>
    <n v="60"/>
    <n v="5"/>
    <n v="-15"/>
  </r>
  <r>
    <n v="148807910"/>
    <x v="0"/>
    <s v="Aucma SD-280 280 л белый"/>
    <x v="14"/>
    <n v="280"/>
    <x v="4"/>
    <s v="белый"/>
    <x v="0"/>
    <n v="185990"/>
    <n v="1"/>
    <n v="1.2048192771084338E-2"/>
    <n v="167990"/>
    <n v="1.2718354207565298E-2"/>
    <s v="B"/>
    <n v="2"/>
    <n v="5"/>
    <n v="1"/>
    <s v="Defrost"/>
    <n v="106.5"/>
    <n v="89.6"/>
    <n v="73.599999999999994"/>
    <n v="3"/>
    <n v="0"/>
  </r>
  <r>
    <n v="120039135"/>
    <x v="0"/>
    <s v="Almagreen SC/SD 280 л синий"/>
    <x v="20"/>
    <n v="280"/>
    <x v="4"/>
    <s v="синий"/>
    <x v="0"/>
    <n v="179990"/>
    <n v="1"/>
    <n v="1.2048192771084338E-2"/>
    <n v="149990"/>
    <n v="1.1355592282830639E-2"/>
    <s v="A"/>
    <n v="1"/>
    <n v="4.9000000000000004"/>
    <n v="17"/>
    <s v="Defrost"/>
    <n v="69"/>
    <n v="90"/>
    <n v="102"/>
    <n v="4"/>
    <n v="-24"/>
  </r>
  <r>
    <n v="137444919"/>
    <x v="0"/>
    <s v="TIGER SD-700NL 700 л черный"/>
    <x v="0"/>
    <n v="700"/>
    <x v="3"/>
    <s v=" черный"/>
    <x v="1"/>
    <n v="389340"/>
    <n v="54"/>
    <n v="0.46551724137931033"/>
    <n v="20562952"/>
    <n v="0.45641304102706248"/>
    <s v="A"/>
    <n v="3"/>
    <n v="4.9000000000000004"/>
    <n v="46"/>
    <s v="Defrost"/>
    <n v="200"/>
    <n v="85"/>
    <n v="76"/>
    <n v="7"/>
    <n v="-24"/>
  </r>
  <r>
    <n v="137444929"/>
    <x v="0"/>
    <s v="TIGER SD-1000NL 1000 л черный"/>
    <x v="0"/>
    <n v="1000"/>
    <x v="0"/>
    <s v=" черный"/>
    <x v="1"/>
    <n v="700000"/>
    <n v="38"/>
    <n v="0.84444444444444444"/>
    <n v="19406571"/>
    <n v="0.7295598886346778"/>
    <s v="A"/>
    <n v="1"/>
    <n v="4.9000000000000004"/>
    <n v="39"/>
    <s v="Defrost"/>
    <n v="250"/>
    <n v="85"/>
    <n v="76"/>
    <n v="9"/>
    <n v="-18"/>
  </r>
  <r>
    <n v="100018121"/>
    <x v="1"/>
    <s v="Бирюса 680KXQ 600 л белый"/>
    <x v="1"/>
    <n v="600"/>
    <x v="1"/>
    <s v=" белый"/>
    <x v="1"/>
    <n v="292320"/>
    <n v="59"/>
    <n v="0.70238095238095233"/>
    <n v="16539622"/>
    <n v="0.67230743053267394"/>
    <s v="A"/>
    <n v="6"/>
    <n v="4.7"/>
    <n v="146"/>
    <s v="ручное"/>
    <n v="203.5"/>
    <n v="81"/>
    <n v="66.5"/>
    <n v="2"/>
    <n v="-18"/>
  </r>
  <r>
    <n v="121978898"/>
    <x v="0"/>
    <s v="AVANGARD SD/SC 718 л серый"/>
    <x v="2"/>
    <n v="718"/>
    <x v="3"/>
    <s v=" серый"/>
    <x v="1"/>
    <n v="424980"/>
    <n v="24"/>
    <n v="0.20689655172413793"/>
    <n v="10332512"/>
    <n v="0.22933931000610297"/>
    <s v="A"/>
    <n v="6"/>
    <n v="4.9000000000000004"/>
    <n v="124"/>
    <s v="ручное"/>
    <n v="200"/>
    <n v="86"/>
    <n v="75.7"/>
    <n v="6"/>
    <n v="-18"/>
  </r>
  <r>
    <n v="2800664"/>
    <x v="1"/>
    <s v="Бирюса 560KX 510 л белый"/>
    <x v="1"/>
    <n v="510"/>
    <x v="2"/>
    <s v=" белый"/>
    <x v="1"/>
    <n v="260200"/>
    <n v="28"/>
    <n v="0.22950819672131148"/>
    <n v="7235669"/>
    <n v="0.21324747048077627"/>
    <s v="A"/>
    <n v="14"/>
    <n v="4.8"/>
    <n v="192"/>
    <s v="ручное"/>
    <n v="179"/>
    <n v="81"/>
    <n v="66"/>
    <n v="2"/>
    <n v="-18"/>
  </r>
  <r>
    <n v="119264286"/>
    <x v="0"/>
    <s v="Muxxed SD/SC-268 268 л желтый"/>
    <x v="3"/>
    <n v="268"/>
    <x v="4"/>
    <s v=" желтый"/>
    <x v="1"/>
    <n v="263800"/>
    <n v="33"/>
    <n v="0.42307692307692307"/>
    <n v="5615572"/>
    <n v="0.4110327068925323"/>
    <s v="A"/>
    <n v="1"/>
    <n v="5"/>
    <n v="47"/>
    <s v="Defrost"/>
    <n v="110"/>
    <n v="85"/>
    <n v="60"/>
    <n v="4"/>
    <n v="-18"/>
  </r>
  <r>
    <n v="121978941"/>
    <x v="0"/>
    <s v="AVANGARD SD/SC-268Y 268 л голубой"/>
    <x v="2"/>
    <n v="268"/>
    <x v="4"/>
    <s v=" голубой"/>
    <x v="1"/>
    <n v="172900"/>
    <n v="29"/>
    <n v="0.37179487179487181"/>
    <n v="5288728"/>
    <n v="0.38710930709433139"/>
    <s v="A"/>
    <n v="2"/>
    <n v="4.9000000000000004"/>
    <n v="61"/>
    <s v="ручное"/>
    <n v="109.5"/>
    <n v="85"/>
    <n v="60"/>
    <n v="3"/>
    <n v="-18"/>
  </r>
  <r>
    <n v="121978926"/>
    <x v="0"/>
    <s v="AVANGARD SD/SC 328 л белый"/>
    <x v="2"/>
    <n v="328"/>
    <x v="5"/>
    <s v=" белый"/>
    <x v="1"/>
    <n v="204900"/>
    <n v="25"/>
    <n v="0.29069767441860467"/>
    <n v="5155700"/>
    <n v="0.28615845497856712"/>
    <s v="A"/>
    <n v="2"/>
    <n v="4.9000000000000004"/>
    <n v="138"/>
    <s v="ручное"/>
    <n v="124"/>
    <n v="82.6"/>
    <n v="69.3"/>
    <n v="4"/>
    <n v="-18"/>
  </r>
  <r>
    <n v="141583649"/>
    <x v="1"/>
    <s v="ORION BD-560S 560 л серый"/>
    <x v="4"/>
    <n v="560"/>
    <x v="2"/>
    <s v=" серый"/>
    <x v="1"/>
    <n v="258990"/>
    <n v="21"/>
    <n v="0.1721311475409836"/>
    <n v="4968356"/>
    <n v="0.14642590055570365"/>
    <s v="A"/>
    <n v="1"/>
    <n v="4.7"/>
    <n v="21"/>
    <s v="ручное"/>
    <n v="160"/>
    <n v="84"/>
    <n v="67.400000000000006"/>
    <n v="2"/>
    <n v="-24"/>
  </r>
  <r>
    <n v="137446425"/>
    <x v="0"/>
    <s v="TIGER SD-500NL 500 л черный, серый"/>
    <x v="0"/>
    <n v="500"/>
    <x v="2"/>
    <s v=" черный, серый"/>
    <x v="1"/>
    <n v="291750"/>
    <n v="16"/>
    <n v="0.13114754098360656"/>
    <n v="4229411"/>
    <n v="0.12464793474847598"/>
    <s v="A"/>
    <n v="3"/>
    <n v="4.9000000000000004"/>
    <n v="25"/>
    <s v="Defrost"/>
    <n v="150"/>
    <n v="85"/>
    <n v="76"/>
    <n v="5"/>
    <n v="-24"/>
  </r>
  <r>
    <n v="124103248"/>
    <x v="2"/>
    <s v="Friggier SSFD-1200 1000 л серебристый"/>
    <x v="9"/>
    <n v="1000"/>
    <x v="0"/>
    <s v=" серебристый"/>
    <x v="1"/>
    <n v="2000000"/>
    <n v="2"/>
    <n v="4.4444444444444446E-2"/>
    <n v="4000000"/>
    <n v="0.15037378599953136"/>
    <s v="A"/>
    <n v="1"/>
    <n v="5"/>
    <n v="0"/>
    <s v="ручное"/>
    <n v="120"/>
    <n v="210"/>
    <n v="70"/>
    <n v="0"/>
    <n v="-18"/>
  </r>
  <r>
    <n v="148808069"/>
    <x v="0"/>
    <s v="Aucma SD-420 420 л белый"/>
    <x v="14"/>
    <n v="420"/>
    <x v="12"/>
    <s v=" белый"/>
    <x v="1"/>
    <n v="279990"/>
    <n v="16"/>
    <n v="0.45714285714285713"/>
    <n v="3681091"/>
    <n v="0.42957050080077153"/>
    <s v="A"/>
    <n v="2"/>
    <n v="5"/>
    <n v="13"/>
    <s v="Defrost"/>
    <n v="139.30000000000001"/>
    <n v="89"/>
    <n v="77.599999999999994"/>
    <n v="6"/>
    <n v="0"/>
  </r>
  <r>
    <n v="117503807"/>
    <x v="0"/>
    <s v="MEISHIDIANQI LG-700L 700 л серый"/>
    <x v="6"/>
    <n v="700"/>
    <x v="3"/>
    <s v=" серый"/>
    <x v="1"/>
    <n v="393935"/>
    <n v="9"/>
    <n v="7.7586206896551727E-2"/>
    <n v="3522620"/>
    <n v="7.8187689519615217E-2"/>
    <s v="A"/>
    <n v="3"/>
    <n v="4.9000000000000004"/>
    <n v="7"/>
    <s v="No Frost"/>
    <n v="200"/>
    <n v="85"/>
    <n v="75"/>
    <n v="7"/>
    <n v="-24"/>
  </r>
  <r>
    <n v="116138932"/>
    <x v="0"/>
    <s v="SAMGA SC/SD-338 338 л серебристый"/>
    <x v="32"/>
    <n v="338"/>
    <x v="5"/>
    <s v=" серебристый"/>
    <x v="1"/>
    <n v="199000"/>
    <n v="16"/>
    <n v="0.18604651162790697"/>
    <n v="3506238"/>
    <n v="0.19460784158642691"/>
    <s v="A"/>
    <n v="2"/>
    <n v="5"/>
    <n v="81"/>
    <s v="ручное"/>
    <n v="130"/>
    <n v="85"/>
    <n v="65"/>
    <n v="5"/>
    <n v="-24"/>
  </r>
  <r>
    <n v="145109215"/>
    <x v="0"/>
    <s v="BL18 1240 л темно-синий"/>
    <x v="5"/>
    <n v="1240"/>
    <x v="6"/>
    <s v=" темно-синий"/>
    <x v="1"/>
    <n v="523699"/>
    <n v="6"/>
    <n v="0.6"/>
    <n v="3210584"/>
    <n v="0.53989420334771054"/>
    <s v="A"/>
    <n v="1"/>
    <n v="4.8"/>
    <n v="3"/>
    <s v="Defrost"/>
    <n v="250"/>
    <n v="80"/>
    <n v="76"/>
    <n v="9"/>
    <n v="-25"/>
  </r>
  <r>
    <n v="119264288"/>
    <x v="0"/>
    <s v="Muxxed SD/SC-155Y 155 л белый"/>
    <x v="3"/>
    <n v="155"/>
    <x v="11"/>
    <s v=" белый"/>
    <x v="1"/>
    <n v="116500"/>
    <n v="27"/>
    <n v="0.79411764705882348"/>
    <n v="3184982"/>
    <n v="0.82951117945175901"/>
    <s v="A"/>
    <n v="1"/>
    <n v="5"/>
    <n v="16"/>
    <s v="Defrost"/>
    <n v="50"/>
    <n v="80"/>
    <n v="80"/>
    <n v="3"/>
    <n v="0"/>
  </r>
  <r>
    <n v="141507444"/>
    <x v="0"/>
    <s v="ORION SD-318 318 л серый"/>
    <x v="4"/>
    <n v="318"/>
    <x v="5"/>
    <s v=" серый"/>
    <x v="1"/>
    <n v="550000"/>
    <n v="16"/>
    <n v="0.18604651162790697"/>
    <n v="3167637"/>
    <n v="0.17581436271562415"/>
    <s v="A"/>
    <n v="3"/>
    <n v="4.9000000000000004"/>
    <n v="20"/>
    <s v="ручное"/>
    <n v="129.4"/>
    <n v="83"/>
    <n v="59.8"/>
    <n v="5"/>
    <n v="-18"/>
  </r>
  <r>
    <n v="153608532"/>
    <x v="1"/>
    <s v="Platinium PLM-720S 720 л серый"/>
    <x v="19"/>
    <n v="720"/>
    <x v="3"/>
    <s v=" серый"/>
    <x v="1"/>
    <n v="278000"/>
    <n v="11"/>
    <n v="9.4827586206896547E-2"/>
    <n v="3063065"/>
    <n v="6.7987456835650786E-2"/>
    <s v="A"/>
    <n v="2"/>
    <n v="5"/>
    <n v="1"/>
    <s v="Defrost"/>
    <n v="180"/>
    <n v="80.599999999999994"/>
    <n v="71"/>
    <n v="0"/>
    <n v="-18"/>
  </r>
  <r>
    <n v="157671625"/>
    <x v="0"/>
    <s v="Aucma SD-540 540 л белый"/>
    <x v="14"/>
    <n v="540"/>
    <x v="2"/>
    <s v=" белый"/>
    <x v="1"/>
    <n v="298990"/>
    <n v="9"/>
    <n v="7.3770491803278687E-2"/>
    <n v="2712081"/>
    <n v="7.9929639261963781E-2"/>
    <s v="A"/>
    <n v="2"/>
    <n v="5"/>
    <n v="4"/>
    <s v="ручное"/>
    <n v="150"/>
    <n v="85"/>
    <n v="70"/>
    <n v="7"/>
    <n v="-20"/>
  </r>
  <r>
    <n v="113954312"/>
    <x v="1"/>
    <s v="Haier HCE520RF 516 л белый"/>
    <x v="7"/>
    <n v="516"/>
    <x v="2"/>
    <s v=" белый"/>
    <x v="1"/>
    <n v="369990"/>
    <n v="8"/>
    <n v="6.5573770491803282E-2"/>
    <n v="2563751"/>
    <n v="7.5558101910488257E-2"/>
    <s v="A"/>
    <n v="3"/>
    <n v="5"/>
    <n v="34"/>
    <s v="ручное"/>
    <n v="165"/>
    <n v="84.5"/>
    <n v="74.5"/>
    <n v="0"/>
    <n v="-29"/>
  </r>
  <r>
    <n v="121978911"/>
    <x v="0"/>
    <s v="AVANGARD SD/SC518 518 л серый"/>
    <x v="2"/>
    <n v="518"/>
    <x v="2"/>
    <s v=" серый"/>
    <x v="1"/>
    <n v="309990"/>
    <n v="8"/>
    <n v="6.5573770491803282E-2"/>
    <n v="2531719"/>
    <n v="7.4614064396549981E-2"/>
    <s v="A"/>
    <n v="8"/>
    <n v="4.9000000000000004"/>
    <n v="55"/>
    <s v="ручное"/>
    <n v="147.5"/>
    <n v="86"/>
    <n v="75.7"/>
    <n v="4"/>
    <n v="-18"/>
  </r>
  <r>
    <n v="139085554"/>
    <x v="0"/>
    <s v="Friggier SD/SC 326SY 326 л черный"/>
    <x v="9"/>
    <n v="326"/>
    <x v="5"/>
    <s v=" черный"/>
    <x v="1"/>
    <n v="199000"/>
    <n v="12"/>
    <n v="0.13953488372093023"/>
    <n v="2418067"/>
    <n v="0.13421074087993073"/>
    <s v="A"/>
    <n v="5"/>
    <n v="5"/>
    <n v="2"/>
    <s v="ручное"/>
    <n v="125"/>
    <n v="91"/>
    <n v="62"/>
    <n v="3"/>
    <n v="-18"/>
  </r>
  <r>
    <n v="141408862"/>
    <x v="0"/>
    <s v="Friggier CI-17A 600 л черный"/>
    <x v="9"/>
    <n v="600"/>
    <x v="1"/>
    <s v=" черный"/>
    <x v="1"/>
    <n v="371000"/>
    <n v="6"/>
    <n v="7.1428571428571425E-2"/>
    <n v="2226000"/>
    <n v="9.0483104170441878E-2"/>
    <s v="A"/>
    <n v="4"/>
    <n v="5"/>
    <n v="5"/>
    <s v="ручное"/>
    <n v="165"/>
    <n v="86"/>
    <n v="76"/>
    <n v="5"/>
    <n v="-18"/>
  </r>
  <r>
    <n v="141583677"/>
    <x v="1"/>
    <s v="ORION BD 660S 660 л серый"/>
    <x v="4"/>
    <n v="660"/>
    <x v="1"/>
    <s v=" серый"/>
    <x v="1"/>
    <n v="263990"/>
    <n v="8"/>
    <n v="9.5238095238095233E-2"/>
    <n v="2130728"/>
    <n v="8.6610459830582784E-2"/>
    <s v="A"/>
    <n v="1"/>
    <n v="4.7"/>
    <n v="11"/>
    <s v="ручное"/>
    <n v="180"/>
    <n v="84"/>
    <n v="67.400000000000006"/>
    <n v="2"/>
    <n v="-24"/>
  </r>
  <r>
    <n v="136188264"/>
    <x v="0"/>
    <s v="AVANGARD SD/SC-400Y A1u 400 л белый, серый"/>
    <x v="2"/>
    <n v="400"/>
    <x v="12"/>
    <s v=" белый, серый"/>
    <x v="1"/>
    <n v="255000"/>
    <n v="8"/>
    <n v="0.22857142857142856"/>
    <n v="2075897"/>
    <n v="0.24224995087076606"/>
    <s v="A"/>
    <n v="2"/>
    <n v="4.5999999999999996"/>
    <n v="19"/>
    <s v="ручное"/>
    <n v="144"/>
    <n v="84.1"/>
    <n v="66"/>
    <n v="4"/>
    <n v="-18"/>
  </r>
  <r>
    <n v="122652103"/>
    <x v="1"/>
    <s v="Leadbros J BC/BD 1700 1700 л белый"/>
    <x v="13"/>
    <n v="1700"/>
    <x v="16"/>
    <s v=" белый"/>
    <x v="1"/>
    <n v="850400"/>
    <n v="2"/>
    <n v="1"/>
    <n v="1700800"/>
    <n v="1"/>
    <s v="A"/>
    <n v="2"/>
    <n v="5"/>
    <n v="0"/>
    <s v="ручное"/>
    <n v="265"/>
    <n v="90"/>
    <n v="110"/>
    <n v="2"/>
    <n v="-18"/>
  </r>
  <r>
    <n v="117232074"/>
    <x v="0"/>
    <s v="Бирюса CF41 410 л белый"/>
    <x v="1"/>
    <n v="410"/>
    <x v="12"/>
    <s v=" белый"/>
    <x v="1"/>
    <n v="263132"/>
    <n v="6"/>
    <n v="0.17142857142857143"/>
    <n v="1620033"/>
    <n v="0.18905220955520421"/>
    <s v="A"/>
    <n v="5"/>
    <n v="5"/>
    <n v="54"/>
    <s v="ручное"/>
    <n v="132"/>
    <n v="88.5"/>
    <n v="66.5"/>
    <n v="5"/>
    <n v="-25"/>
  </r>
  <r>
    <n v="140611570"/>
    <x v="1"/>
    <s v="OUCBOLL BD/BC-1680H 1600 л белый"/>
    <x v="8"/>
    <n v="1600"/>
    <x v="7"/>
    <s v=" белый"/>
    <x v="1"/>
    <n v="729990"/>
    <n v="2"/>
    <n v="1"/>
    <n v="1535082"/>
    <n v="1"/>
    <s v="A"/>
    <n v="2"/>
    <n v="5"/>
    <n v="10"/>
    <s v="ручное"/>
    <n v="315"/>
    <n v="93"/>
    <n v="89"/>
    <n v="0"/>
    <n v="-18"/>
  </r>
  <r>
    <n v="137444909"/>
    <x v="0"/>
    <s v="TIGER SD-500NL 500 л черный"/>
    <x v="0"/>
    <n v="500"/>
    <x v="2"/>
    <s v=" черный"/>
    <x v="1"/>
    <n v="298900"/>
    <n v="5"/>
    <n v="4.0983606557377046E-2"/>
    <n v="1514399"/>
    <n v="4.4631913932024404E-2"/>
    <s v="A"/>
    <n v="1"/>
    <n v="5"/>
    <n v="0"/>
    <s v="Defrost"/>
    <n v="150"/>
    <n v="85"/>
    <n v="76"/>
    <n v="5"/>
    <n v="-24"/>
  </r>
  <r>
    <n v="117503828"/>
    <x v="0"/>
    <s v="MEISHIDIANQI LG-1000L 1000 л серый"/>
    <x v="6"/>
    <n v="1000"/>
    <x v="0"/>
    <s v=" серый"/>
    <x v="1"/>
    <n v="528790"/>
    <n v="2"/>
    <n v="4.4444444444444446E-2"/>
    <n v="1461930"/>
    <n v="5.495898724157372E-2"/>
    <s v="A"/>
    <n v="3"/>
    <n v="4.8"/>
    <n v="6"/>
    <s v="No Frost"/>
    <n v="200"/>
    <n v="85"/>
    <n v="75"/>
    <n v="9"/>
    <n v="-18"/>
  </r>
  <r>
    <n v="108699680"/>
    <x v="1"/>
    <s v="XINGX XF-850 850 л белый"/>
    <x v="26"/>
    <n v="850"/>
    <x v="8"/>
    <s v=" белый"/>
    <x v="1"/>
    <n v="379885"/>
    <n v="3"/>
    <n v="0.23076923076923078"/>
    <n v="1257355"/>
    <n v="0.22786021560327491"/>
    <s v="A"/>
    <n v="4"/>
    <n v="4.8"/>
    <n v="3"/>
    <s v="ручное"/>
    <n v="201"/>
    <n v="78"/>
    <n v="85"/>
    <n v="1"/>
    <n v="0"/>
  </r>
  <r>
    <n v="142956771"/>
    <x v="1"/>
    <s v="AVANGARD BD/BC-798 718 л белый"/>
    <x v="2"/>
    <n v="718"/>
    <x v="3"/>
    <s v=" белый"/>
    <x v="1"/>
    <n v="399990"/>
    <n v="3"/>
    <n v="2.5862068965517241E-2"/>
    <n v="1229970"/>
    <n v="2.7300280041117442E-2"/>
    <s v="A"/>
    <n v="2"/>
    <n v="4.9000000000000004"/>
    <n v="9"/>
    <s v="Defrost"/>
    <n v="197"/>
    <n v="86.4"/>
    <n v="93.5"/>
    <n v="0"/>
    <n v="-35"/>
  </r>
  <r>
    <n v="113072746"/>
    <x v="0"/>
    <s v="FROSTOR F 700 C 700 л белый, серый"/>
    <x v="18"/>
    <n v="700"/>
    <x v="3"/>
    <s v=" белый, серый"/>
    <x v="1"/>
    <n v="459500"/>
    <n v="3"/>
    <n v="2.5862068965517241E-2"/>
    <n v="1197000"/>
    <n v="2.6568481515173201E-2"/>
    <s v="B"/>
    <n v="2"/>
    <n v="4.9000000000000004"/>
    <n v="45"/>
    <s v="ручное"/>
    <n v="180"/>
    <n v="84"/>
    <n v="60"/>
    <n v="6"/>
    <n v="-22"/>
  </r>
  <r>
    <n v="120039135"/>
    <x v="0"/>
    <s v="Almagreen SC/SD 280 л синий"/>
    <x v="20"/>
    <n v="280"/>
    <x v="4"/>
    <s v=" синий"/>
    <x v="1"/>
    <n v="179990"/>
    <n v="7"/>
    <n v="8.9743589743589744E-2"/>
    <n v="1135910"/>
    <n v="8.3143117403943242E-2"/>
    <s v="A"/>
    <n v="1"/>
    <n v="4.9000000000000004"/>
    <n v="17"/>
    <s v="Defrost"/>
    <n v="69"/>
    <n v="90"/>
    <n v="102"/>
    <n v="4"/>
    <n v="-24"/>
  </r>
  <r>
    <n v="156640750"/>
    <x v="0"/>
    <s v="SAMGA SC/SD 338 338 л мультиколор"/>
    <x v="32"/>
    <n v="338"/>
    <x v="5"/>
    <s v=" мультиколор"/>
    <x v="1"/>
    <n v="213999"/>
    <n v="5"/>
    <n v="5.8139534883720929E-2"/>
    <n v="1115171"/>
    <n v="6.1895690283938876E-2"/>
    <s v="A"/>
    <n v="5"/>
    <n v="5"/>
    <n v="4"/>
    <s v="ручное"/>
    <n v="128"/>
    <n v="83"/>
    <n v="60"/>
    <n v="5"/>
    <n v="-24"/>
  </r>
  <r>
    <n v="138886743"/>
    <x v="2"/>
    <s v="Foodsense VF-1200L 1200 л стальной"/>
    <x v="21"/>
    <n v="1200"/>
    <x v="6"/>
    <s v=" стальной"/>
    <x v="1"/>
    <n v="539065"/>
    <n v="2"/>
    <n v="0.2"/>
    <n v="1108407"/>
    <n v="0.18639054896243978"/>
    <s v="A"/>
    <n v="3"/>
    <n v="5"/>
    <n v="3"/>
    <s v="Defrost"/>
    <n v="120"/>
    <n v="196"/>
    <n v="76"/>
    <n v="0"/>
    <n v="-14"/>
  </r>
  <r>
    <n v="114694121"/>
    <x v="2"/>
    <s v="Ариада Rapsodiya R1400LS 1400 л черный, белый"/>
    <x v="10"/>
    <n v="1400"/>
    <x v="9"/>
    <s v=" черный, белый"/>
    <x v="1"/>
    <n v="1120000"/>
    <n v="1"/>
    <n v="1"/>
    <n v="1108000"/>
    <n v="1"/>
    <s v="A"/>
    <n v="1"/>
    <n v="4.33"/>
    <n v="5"/>
    <s v="ручное"/>
    <n v="160"/>
    <n v="198"/>
    <n v="72.5"/>
    <n v="0"/>
    <n v="-18"/>
  </r>
  <r>
    <n v="145169183"/>
    <x v="1"/>
    <s v="SABA HD-700 700 л белый"/>
    <x v="29"/>
    <n v="700"/>
    <x v="3"/>
    <s v=" белый"/>
    <x v="1"/>
    <n v="309900"/>
    <n v="3"/>
    <n v="2.5862068965517241E-2"/>
    <n v="959970"/>
    <n v="2.1307389473785143E-2"/>
    <s v="A"/>
    <n v="5"/>
    <n v="5"/>
    <n v="2"/>
    <s v="ручное"/>
    <n v="203"/>
    <n v="91"/>
    <n v="76"/>
    <n v="3"/>
    <n v="-18"/>
  </r>
  <r>
    <n v="116443890"/>
    <x v="2"/>
    <s v="Prokitchen ХШН-2/1200С 1200 л белый"/>
    <x v="15"/>
    <n v="1200"/>
    <x v="6"/>
    <s v=" белый"/>
    <x v="1"/>
    <n v="955500"/>
    <n v="1"/>
    <n v="0.1"/>
    <n v="955500"/>
    <n v="0.16067759363989151"/>
    <s v="B"/>
    <n v="1"/>
    <n v="0"/>
    <n v="0"/>
    <s v="Defrost"/>
    <n v="140"/>
    <n v="215"/>
    <n v="70"/>
    <n v="0"/>
    <n v="-18"/>
  </r>
  <r>
    <n v="110555379"/>
    <x v="0"/>
    <s v="FROSTOR F 800 C 800 л белый-серый"/>
    <x v="18"/>
    <n v="800"/>
    <x v="8"/>
    <s v=" белый-серый"/>
    <x v="1"/>
    <n v="530000"/>
    <n v="2"/>
    <n v="0.15384615384615385"/>
    <n v="952000"/>
    <n v="0.17252321361454617"/>
    <s v="A"/>
    <n v="1"/>
    <n v="4.8"/>
    <n v="41"/>
    <s v="ручное"/>
    <n v="200"/>
    <n v="84"/>
    <n v="60"/>
    <n v="9"/>
    <n v="-22"/>
  </r>
  <r>
    <n v="154652840"/>
    <x v="1"/>
    <s v="ORION BD-560 560 л серебристый"/>
    <x v="4"/>
    <n v="560"/>
    <x v="2"/>
    <s v=" серебристый"/>
    <x v="1"/>
    <n v="258990"/>
    <n v="4"/>
    <n v="3.2786885245901641E-2"/>
    <n v="931837"/>
    <n v="2.7462821081284276E-2"/>
    <s v="B"/>
    <n v="1"/>
    <n v="4"/>
    <n v="1"/>
    <s v="ручное"/>
    <n v="160"/>
    <n v="84"/>
    <n v="67.400000000000006"/>
    <n v="2"/>
    <n v="-24"/>
  </r>
  <r>
    <n v="104045575"/>
    <x v="0"/>
    <s v="FROSTOR F 2500 B 999 л белый"/>
    <x v="18"/>
    <n v="999"/>
    <x v="10"/>
    <s v=" белый"/>
    <x v="1"/>
    <n v="950000"/>
    <n v="1"/>
    <n v="0.5"/>
    <n v="928200"/>
    <n v="0.64093799846705202"/>
    <s v="B"/>
    <n v="1"/>
    <n v="4.7"/>
    <n v="7"/>
    <s v="ручное"/>
    <n v="250"/>
    <n v="75"/>
    <n v="87"/>
    <n v="12"/>
    <n v="-25"/>
  </r>
  <r>
    <n v="157686240"/>
    <x v="1"/>
    <s v="МОРОЗ BC/BD 850 850 л белый, черный"/>
    <x v="33"/>
    <n v="850"/>
    <x v="8"/>
    <s v=" белый, черный"/>
    <x v="1"/>
    <n v="383965"/>
    <n v="2"/>
    <n v="0.15384615384615385"/>
    <n v="921832"/>
    <n v="0.16705611245034069"/>
    <s v="B"/>
    <n v="2"/>
    <n v="5"/>
    <n v="0"/>
    <s v="ручное"/>
    <n v="200"/>
    <n v="87"/>
    <n v="85.5"/>
    <n v="3"/>
    <n v="-18"/>
  </r>
  <r>
    <n v="142526631"/>
    <x v="0"/>
    <s v="LUX 700 700 л серый"/>
    <x v="24"/>
    <n v="700"/>
    <x v="3"/>
    <s v=" серый"/>
    <x v="1"/>
    <n v="374999"/>
    <n v="2"/>
    <n v="1.7241379310344827E-2"/>
    <n v="899853"/>
    <n v="1.9973039095132122E-2"/>
    <s v="A"/>
    <n v="1"/>
    <n v="5"/>
    <n v="2"/>
    <s v="Defrost"/>
    <n v="200"/>
    <n v="80"/>
    <n v="76"/>
    <n v="7"/>
    <n v="-24"/>
  </r>
  <r>
    <n v="141407423"/>
    <x v="1"/>
    <s v="OUCBOLL BD/BC-758 758 л белый"/>
    <x v="8"/>
    <n v="758"/>
    <x v="3"/>
    <s v=" белый"/>
    <x v="1"/>
    <n v="420994"/>
    <n v="2"/>
    <n v="1.7241379310344827E-2"/>
    <n v="890634"/>
    <n v="1.976841517609421E-2"/>
    <s v="B"/>
    <n v="1"/>
    <n v="5"/>
    <n v="2"/>
    <s v="ручное"/>
    <n v="195"/>
    <n v="92"/>
    <n v="79"/>
    <n v="0"/>
    <n v="-18"/>
  </r>
  <r>
    <n v="148912880"/>
    <x v="1"/>
    <s v="SABA HD-600 600 л белый"/>
    <x v="29"/>
    <n v="600"/>
    <x v="1"/>
    <s v=" белый"/>
    <x v="1"/>
    <n v="308990"/>
    <n v="3"/>
    <n v="3.5714285714285712E-2"/>
    <n v="866239"/>
    <n v="3.5211138218103955E-2"/>
    <s v="B"/>
    <n v="2"/>
    <n v="5"/>
    <n v="2"/>
    <s v="ручное"/>
    <n v="177.5"/>
    <n v="91"/>
    <n v="72.5"/>
    <n v="3"/>
    <n v="-18"/>
  </r>
  <r>
    <n v="132777674"/>
    <x v="0"/>
    <s v="AVANGARD SD/SC-1800RS 647 л белый, серый"/>
    <x v="2"/>
    <n v="647"/>
    <x v="1"/>
    <s v=" белый, серый"/>
    <x v="1"/>
    <n v="429990"/>
    <n v="2"/>
    <n v="2.3809523809523808E-2"/>
    <n v="861980"/>
    <n v="3.5038017130654756E-2"/>
    <s v="A"/>
    <n v="1"/>
    <n v="5"/>
    <n v="2"/>
    <s v="Defrost"/>
    <n v="182"/>
    <n v="82.2"/>
    <n v="82.2"/>
    <n v="6"/>
    <n v="-25"/>
  </r>
  <r>
    <n v="148880716"/>
    <x v="0"/>
    <s v="FROX SD-SC-700BY 725 л серый"/>
    <x v="17"/>
    <n v="725"/>
    <x v="3"/>
    <s v=" серый"/>
    <x v="1"/>
    <n v="420000"/>
    <n v="2"/>
    <n v="1.7241379310344827E-2"/>
    <n v="840000"/>
    <n v="1.8644548431700492E-2"/>
    <s v="B"/>
    <n v="1"/>
    <n v="0"/>
    <n v="0"/>
    <s v="Defrost"/>
    <n v="200"/>
    <n v="85"/>
    <n v="75"/>
    <n v="6"/>
    <n v="-22"/>
  </r>
  <r>
    <n v="143080837"/>
    <x v="1"/>
    <s v="AVANGARD BC/BD-2380 1800 л белый"/>
    <x v="2"/>
    <n v="1800"/>
    <x v="17"/>
    <s v=" белый"/>
    <x v="1"/>
    <n v="839000"/>
    <n v="1"/>
    <n v="1"/>
    <n v="839000"/>
    <n v="1"/>
    <s v="B"/>
    <n v="1"/>
    <n v="5"/>
    <n v="7"/>
    <s v="ручное"/>
    <n v="380.8"/>
    <n v="93"/>
    <n v="100"/>
    <n v="0"/>
    <n v="-35"/>
  </r>
  <r>
    <n v="140700154"/>
    <x v="0"/>
    <s v="SAMGA SC/SD-338S 338 л серый"/>
    <x v="32"/>
    <n v="338"/>
    <x v="5"/>
    <s v=" серый"/>
    <x v="1"/>
    <n v="199000"/>
    <n v="4"/>
    <n v="4.6511627906976744E-2"/>
    <n v="832565"/>
    <n v="4.6210119686799216E-2"/>
    <s v="A"/>
    <n v="4"/>
    <n v="5"/>
    <n v="19"/>
    <s v="ручное"/>
    <n v="130"/>
    <n v="86"/>
    <n v="65"/>
    <n v="5"/>
    <n v="-25"/>
  </r>
  <r>
    <n v="154651758"/>
    <x v="1"/>
    <s v="ORION BD-660 660 л серебристый"/>
    <x v="4"/>
    <n v="660"/>
    <x v="1"/>
    <s v=" серебристый"/>
    <x v="1"/>
    <n v="263990"/>
    <n v="3"/>
    <n v="3.5714285714285712E-2"/>
    <n v="828214"/>
    <n v="3.3665486809262513E-2"/>
    <s v="B"/>
    <n v="1"/>
    <n v="5"/>
    <n v="1"/>
    <s v="ручное"/>
    <n v="180"/>
    <n v="84"/>
    <n v="67.400000000000006"/>
    <n v="2"/>
    <n v="-24"/>
  </r>
  <r>
    <n v="120309401"/>
    <x v="1"/>
    <s v="AVANGARD AF-550 WHITE 550 л белый"/>
    <x v="2"/>
    <n v="550"/>
    <x v="2"/>
    <s v=" белый"/>
    <x v="1"/>
    <n v="274990"/>
    <n v="3"/>
    <n v="2.4590163934426229E-2"/>
    <n v="824970"/>
    <n v="2.431326885219957E-2"/>
    <s v="A"/>
    <n v="3"/>
    <n v="5"/>
    <n v="50"/>
    <s v="ручное"/>
    <n v="165"/>
    <n v="83.5"/>
    <n v="73"/>
    <n v="2"/>
    <n v="-18"/>
  </r>
  <r>
    <n v="121205888"/>
    <x v="2"/>
    <s v="AOLIEGE HZRL4 800 л серебристый"/>
    <x v="25"/>
    <n v="800"/>
    <x v="8"/>
    <s v=" серебристый"/>
    <x v="1"/>
    <n v="391900"/>
    <n v="2"/>
    <n v="0.15384615384615385"/>
    <n v="783800"/>
    <n v="0.1420416962511358"/>
    <s v="B"/>
    <n v="1"/>
    <n v="5"/>
    <n v="2"/>
    <s v="Defrost"/>
    <n v="60"/>
    <n v="196"/>
    <n v="76"/>
    <n v="0"/>
    <n v="-14"/>
  </r>
  <r>
    <n v="102055246"/>
    <x v="2"/>
    <s v="Polair CB107-S 700 л белый"/>
    <x v="11"/>
    <n v="700"/>
    <x v="3"/>
    <s v=" белый"/>
    <x v="1"/>
    <n v="632820"/>
    <n v="1"/>
    <n v="8.6206896551724137E-3"/>
    <n v="773800"/>
    <n v="1.7175180448154571E-2"/>
    <s v="A"/>
    <n v="3"/>
    <n v="5"/>
    <n v="5"/>
    <s v="ручное"/>
    <n v="73"/>
    <n v="199"/>
    <n v="96"/>
    <n v="0"/>
    <n v="-18"/>
  </r>
  <r>
    <n v="140308862"/>
    <x v="0"/>
    <s v="Platinium PLSD-450 420 л белый"/>
    <x v="19"/>
    <n v="420"/>
    <x v="12"/>
    <s v=" белый"/>
    <x v="1"/>
    <n v="236980"/>
    <n v="3"/>
    <n v="8.5714285714285715E-2"/>
    <n v="732235"/>
    <n v="8.5449274591107072E-2"/>
    <s v="B"/>
    <n v="5"/>
    <n v="5"/>
    <n v="8"/>
    <s v="Defrost"/>
    <n v="131"/>
    <n v="83"/>
    <n v="69"/>
    <n v="6"/>
    <n v="-18"/>
  </r>
  <r>
    <n v="132115831"/>
    <x v="0"/>
    <s v="AVANGARD SD/SC-328Y (A1u) 328 л белый, серый"/>
    <x v="2"/>
    <n v="328"/>
    <x v="5"/>
    <s v=" белый, серый"/>
    <x v="1"/>
    <n v="229975"/>
    <n v="3"/>
    <n v="3.4883720930232558E-2"/>
    <n v="719124"/>
    <n v="3.9913767825514888E-2"/>
    <s v="A"/>
    <n v="4"/>
    <n v="5"/>
    <n v="40"/>
    <s v="ручное"/>
    <n v="129"/>
    <n v="84.1"/>
    <n v="66"/>
    <n v="4"/>
    <n v="-18"/>
  </r>
  <r>
    <n v="153336154"/>
    <x v="1"/>
    <s v="Rebus RIF-550W 550 л белый"/>
    <x v="22"/>
    <n v="550"/>
    <x v="2"/>
    <s v=" белый"/>
    <x v="1"/>
    <n v="249990"/>
    <n v="3"/>
    <n v="2.4590163934426229E-2"/>
    <n v="711852"/>
    <n v="2.0979489022601994E-2"/>
    <s v="B"/>
    <n v="1"/>
    <n v="5"/>
    <n v="2"/>
    <s v="Defrost"/>
    <n v="153.5"/>
    <n v="82.5"/>
    <n v="74"/>
    <n v="0"/>
    <n v="-18"/>
  </r>
  <r>
    <n v="143838104"/>
    <x v="0"/>
    <s v="Морозильник Muxxed SD/SC-205Y 205 л белый"/>
    <x v="3"/>
    <n v="205"/>
    <x v="4"/>
    <s v=" белый"/>
    <x v="1"/>
    <n v="137400"/>
    <n v="5"/>
    <n v="6.4102564102564097E-2"/>
    <n v="697210"/>
    <n v="5.103239947284844E-2"/>
    <s v="A"/>
    <n v="1"/>
    <n v="4.9000000000000004"/>
    <n v="22"/>
    <s v="ручное"/>
    <n v="100"/>
    <n v="77"/>
    <n v="50"/>
    <n v="4"/>
    <n v="-18"/>
  </r>
  <r>
    <n v="117689613"/>
    <x v="0"/>
    <s v="Бирюса CF32 320 л белый"/>
    <x v="1"/>
    <n v="320"/>
    <x v="5"/>
    <s v=" белый"/>
    <x v="1"/>
    <n v="236266"/>
    <n v="3"/>
    <n v="3.4883720930232558E-2"/>
    <n v="694650"/>
    <n v="3.8555379628539603E-2"/>
    <s v="B"/>
    <n v="7"/>
    <n v="4.8"/>
    <n v="15"/>
    <s v="ручное"/>
    <n v="108.5"/>
    <n v="88.5"/>
    <n v="66.5"/>
    <n v="4"/>
    <n v="-25"/>
  </r>
  <r>
    <n v="143487775"/>
    <x v="1"/>
    <s v="Friggier BC/BD 1250 1250 л белый"/>
    <x v="9"/>
    <n v="1250"/>
    <x v="6"/>
    <s v=" белый"/>
    <x v="1"/>
    <n v="672200"/>
    <n v="1"/>
    <n v="0.1"/>
    <n v="672200"/>
    <n v="0.11303765404995821"/>
    <s v="B"/>
    <n v="3"/>
    <n v="5"/>
    <n v="0"/>
    <s v="ручное"/>
    <n v="250"/>
    <n v="80"/>
    <n v="90"/>
    <n v="3"/>
    <n v="-18"/>
  </r>
  <r>
    <n v="118327703"/>
    <x v="0"/>
    <s v="Leadbros CO-25SN 1000 л серый"/>
    <x v="13"/>
    <n v="1000"/>
    <x v="0"/>
    <s v=" серый"/>
    <x v="1"/>
    <n v="671900"/>
    <n v="1"/>
    <n v="2.2222222222222223E-2"/>
    <n v="671900"/>
    <n v="2.525903670327128E-2"/>
    <s v="C"/>
    <n v="2"/>
    <n v="5"/>
    <n v="0"/>
    <s v="No Frost"/>
    <n v="250"/>
    <n v="85"/>
    <n v="95"/>
    <n v="0"/>
    <n v="-18"/>
  </r>
  <r>
    <n v="110833716"/>
    <x v="2"/>
    <s v="Polair CB105-S 500 л белый"/>
    <x v="11"/>
    <n v="500"/>
    <x v="2"/>
    <s v=" белый"/>
    <x v="1"/>
    <n v="571500"/>
    <n v="1"/>
    <n v="8.1967213114754103E-3"/>
    <n v="666401"/>
    <n v="1.9639970758178655E-2"/>
    <s v="A"/>
    <n v="4"/>
    <n v="5"/>
    <n v="3"/>
    <s v="ручное"/>
    <n v="69.7"/>
    <n v="196"/>
    <n v="69.5"/>
    <n v="0"/>
    <n v="-18"/>
  </r>
  <r>
    <n v="122939001"/>
    <x v="0"/>
    <s v="Бирюса CF59 590 л белый"/>
    <x v="1"/>
    <n v="590"/>
    <x v="2"/>
    <s v=" белый"/>
    <x v="1"/>
    <n v="385998"/>
    <n v="2"/>
    <n v="1.6393442622950821E-2"/>
    <n v="648237"/>
    <n v="1.9104646788299321E-2"/>
    <s v="B"/>
    <n v="2"/>
    <n v="5"/>
    <n v="10"/>
    <s v="ручное"/>
    <n v="179"/>
    <n v="88.5"/>
    <n v="66.5"/>
    <n v="5"/>
    <n v="-25"/>
  </r>
  <r>
    <n v="121978785"/>
    <x v="0"/>
    <s v="AVANGARD CQS25L 1000 л серый"/>
    <x v="2"/>
    <n v="1000"/>
    <x v="0"/>
    <s v=" серый"/>
    <x v="1"/>
    <n v="679990"/>
    <n v="1"/>
    <n v="2.2222222222222223E-2"/>
    <n v="599990"/>
    <n v="2.2555691965464704E-2"/>
    <s v="A"/>
    <n v="2"/>
    <n v="4.9000000000000004"/>
    <n v="47"/>
    <s v="ручное"/>
    <n v="254.5"/>
    <n v="86"/>
    <n v="89"/>
    <n v="5"/>
    <n v="0"/>
  </r>
  <r>
    <n v="141167073"/>
    <x v="1"/>
    <s v="Hansa FS5021.3W 502 л белый"/>
    <x v="23"/>
    <n v="502"/>
    <x v="2"/>
    <s v=" белый"/>
    <x v="1"/>
    <n v="309958"/>
    <n v="2"/>
    <n v="1.6393442622950821E-2"/>
    <n v="599980"/>
    <n v="1.7682430931964432E-2"/>
    <s v="B"/>
    <n v="6"/>
    <n v="4.8"/>
    <n v="11"/>
    <s v="ручное"/>
    <n v="155"/>
    <n v="89"/>
    <n v="77"/>
    <n v="4"/>
    <n v="0"/>
  </r>
  <r>
    <n v="129159431"/>
    <x v="1"/>
    <s v="BC/BD 1388BX 1380 л белый"/>
    <x v="5"/>
    <n v="1380"/>
    <x v="13"/>
    <s v=" белый"/>
    <x v="1"/>
    <n v="989000"/>
    <n v="1"/>
    <n v="0.33333333333333331"/>
    <n v="592550"/>
    <n v="0.35811891324764988"/>
    <s v="B"/>
    <n v="1"/>
    <n v="5"/>
    <n v="1"/>
    <s v="Defrost"/>
    <n v="260"/>
    <n v="88"/>
    <n v="102"/>
    <n v="0"/>
    <n v="-18"/>
  </r>
  <r>
    <n v="140611569"/>
    <x v="1"/>
    <s v="OUCBOLL BD/BC-1380H 1380 л белый"/>
    <x v="8"/>
    <n v="1380"/>
    <x v="13"/>
    <s v=" белый"/>
    <x v="1"/>
    <n v="599988"/>
    <n v="1"/>
    <n v="0.33333333333333331"/>
    <n v="589989"/>
    <n v="0.35657112396939961"/>
    <s v="B"/>
    <n v="2"/>
    <n v="5"/>
    <n v="2"/>
    <s v="ручное"/>
    <n v="260"/>
    <n v="93"/>
    <n v="89"/>
    <n v="0"/>
    <n v="-18"/>
  </r>
  <r>
    <n v="114861132"/>
    <x v="0"/>
    <s v="Haier SD-516AE 513 л белый"/>
    <x v="7"/>
    <n v="513"/>
    <x v="2"/>
    <s v=" белый"/>
    <x v="1"/>
    <n v="349990"/>
    <n v="2"/>
    <n v="1.6393442622950821E-2"/>
    <n v="578377"/>
    <n v="1.7045753783687442E-2"/>
    <s v="C"/>
    <n v="3"/>
    <n v="5"/>
    <n v="2"/>
    <s v="ручное"/>
    <n v="155"/>
    <n v="84.5"/>
    <n v="65"/>
    <n v="4"/>
    <n v="-24"/>
  </r>
  <r>
    <n v="148807910"/>
    <x v="0"/>
    <s v="Aucma SD-280 280 л белый"/>
    <x v="14"/>
    <n v="280"/>
    <x v="4"/>
    <s v=" белый"/>
    <x v="1"/>
    <n v="185990"/>
    <n v="3"/>
    <n v="3.8461538461538464E-2"/>
    <n v="557969"/>
    <n v="4.0840631806006465E-2"/>
    <s v="B"/>
    <n v="2"/>
    <n v="5"/>
    <n v="1"/>
    <s v="Defrost"/>
    <n v="106.5"/>
    <n v="89.6"/>
    <n v="73.599999999999994"/>
    <n v="3"/>
    <n v="0"/>
  </r>
  <r>
    <n v="119095687"/>
    <x v="2"/>
    <s v="RKS COLD Kitchen 500 500 л стальной"/>
    <x v="34"/>
    <n v="500"/>
    <x v="2"/>
    <s v=" стальной"/>
    <x v="1"/>
    <n v="520000"/>
    <n v="1"/>
    <n v="8.1967213114754103E-3"/>
    <n v="544280"/>
    <n v="1.60408572079896E-2"/>
    <s v="C"/>
    <n v="1"/>
    <n v="4"/>
    <n v="1"/>
    <s v="Defrost"/>
    <n v="140"/>
    <n v="215"/>
    <n v="70"/>
    <n v="0"/>
    <n v="-18"/>
  </r>
  <r>
    <n v="121978807"/>
    <x v="0"/>
    <s v="AVANGARD CQS21L 900 л серый"/>
    <x v="2"/>
    <n v="900"/>
    <x v="10"/>
    <s v=" серый"/>
    <x v="1"/>
    <n v="519085"/>
    <n v="1"/>
    <n v="0.5"/>
    <n v="519990"/>
    <n v="0.35906200153294804"/>
    <s v="A"/>
    <n v="5"/>
    <n v="4.8"/>
    <n v="13"/>
    <s v="ручное"/>
    <n v="214.5"/>
    <n v="86"/>
    <n v="89"/>
    <n v="6"/>
    <n v="-18"/>
  </r>
  <r>
    <n v="114858756"/>
    <x v="2"/>
    <s v="Haier HUF90RU 90 л белый"/>
    <x v="7"/>
    <n v="90"/>
    <x v="15"/>
    <s v=" белый"/>
    <x v="1"/>
    <n v="339990"/>
    <n v="2"/>
    <n v="0.66666666666666663"/>
    <n v="479980"/>
    <n v="0.61149401857490482"/>
    <s v="B"/>
    <n v="2"/>
    <n v="5"/>
    <n v="2"/>
    <s v="ручное"/>
    <n v="59.5"/>
    <n v="82"/>
    <n v="54.5"/>
    <n v="0"/>
    <n v="-24"/>
  </r>
  <r>
    <n v="155437333"/>
    <x v="0"/>
    <s v="FROX SD/SC-800 800 л золотистый"/>
    <x v="17"/>
    <n v="800"/>
    <x v="8"/>
    <s v=" золотистый"/>
    <x v="1"/>
    <n v="420000"/>
    <n v="1"/>
    <n v="7.6923076923076927E-2"/>
    <n v="477222"/>
    <n v="8.6483059923908562E-2"/>
    <s v="B"/>
    <n v="1"/>
    <n v="0"/>
    <n v="0"/>
    <s v="Defrost"/>
    <n v="200"/>
    <n v="85"/>
    <n v="80"/>
    <n v="6"/>
    <n v="-26"/>
  </r>
  <r>
    <n v="145145986"/>
    <x v="1"/>
    <s v="AVANGARD BD/BC-1380 1380 л белый"/>
    <x v="2"/>
    <n v="1380"/>
    <x v="13"/>
    <s v=" белый"/>
    <x v="1"/>
    <n v="529990"/>
    <n v="1"/>
    <n v="0.33333333333333331"/>
    <n v="472079"/>
    <n v="0.28530996278295051"/>
    <s v="B"/>
    <n v="1"/>
    <n v="4.7"/>
    <n v="2"/>
    <s v="ручное"/>
    <n v="260"/>
    <n v="93.5"/>
    <n v="100"/>
    <n v="1"/>
    <n v="-35"/>
  </r>
  <r>
    <n v="148807903"/>
    <x v="1"/>
    <s v="Морозильник Aucma BC/BD(W)-500KFW 500 л белый"/>
    <x v="14"/>
    <n v="500"/>
    <x v="2"/>
    <s v=" белый"/>
    <x v="1"/>
    <n v="226490"/>
    <n v="2"/>
    <n v="1.6393442622950821E-2"/>
    <n v="471952"/>
    <n v="1.3909228046272338E-2"/>
    <s v="C"/>
    <n v="2"/>
    <n v="5"/>
    <n v="1"/>
    <s v="Defrost"/>
    <n v="145.19999999999999"/>
    <n v="88.5"/>
    <n v="76"/>
    <n v="0"/>
    <n v="-17"/>
  </r>
  <r>
    <n v="100620937"/>
    <x v="1"/>
    <s v="Almagreen BDBC 1088 1088 л белый"/>
    <x v="20"/>
    <n v="1080"/>
    <x v="0"/>
    <s v=" белый"/>
    <x v="1"/>
    <n v="459600"/>
    <n v="1"/>
    <n v="2.2222222222222223E-2"/>
    <n v="459990"/>
    <n v="1.7292609455481108E-2"/>
    <s v="B"/>
    <n v="3"/>
    <n v="4.8"/>
    <n v="3"/>
    <s v="ручное"/>
    <n v="197"/>
    <n v="94.2"/>
    <n v="104"/>
    <n v="2"/>
    <n v="-18"/>
  </r>
  <r>
    <n v="114890200"/>
    <x v="0"/>
    <s v="Haier SD-416AE 417 л белый"/>
    <x v="7"/>
    <n v="417"/>
    <x v="12"/>
    <s v=" белый"/>
    <x v="1"/>
    <n v="299990"/>
    <n v="2"/>
    <n v="5.7142857142857141E-2"/>
    <n v="459980"/>
    <n v="5.3678064182151125E-2"/>
    <s v="C"/>
    <n v="4"/>
    <n v="0"/>
    <n v="0"/>
    <s v="ручное"/>
    <n v="130"/>
    <n v="84.5"/>
    <n v="65"/>
    <n v="4"/>
    <n v="-25"/>
  </r>
  <r>
    <n v="2800259"/>
    <x v="0"/>
    <s v="Снеж МЛГ-600 551 л белый"/>
    <x v="35"/>
    <n v="551"/>
    <x v="2"/>
    <s v=" белый"/>
    <x v="1"/>
    <n v="458000"/>
    <n v="1"/>
    <n v="8.1967213114754103E-3"/>
    <n v="458000"/>
    <n v="1.3498038879362162E-2"/>
    <s v="C"/>
    <n v="1"/>
    <n v="4.4000000000000004"/>
    <n v="8"/>
    <s v="ручное"/>
    <n v="160"/>
    <n v="80"/>
    <n v="60"/>
    <n v="6"/>
    <n v="0"/>
  </r>
  <r>
    <n v="106635013"/>
    <x v="1"/>
    <s v="МОРОЗ BC/BD 850L 850 л белый-синий"/>
    <x v="33"/>
    <n v="850"/>
    <x v="8"/>
    <s v=" белый-синий"/>
    <x v="1"/>
    <n v="382945"/>
    <n v="1"/>
    <n v="7.6923076923076927E-2"/>
    <n v="412899"/>
    <n v="7.4826326027555151E-2"/>
    <s v="B"/>
    <n v="5"/>
    <n v="4.8"/>
    <n v="13"/>
    <s v="ручное"/>
    <n v="200.1"/>
    <n v="87"/>
    <n v="85.5"/>
    <n v="0"/>
    <n v="-18"/>
  </r>
  <r>
    <n v="149362714"/>
    <x v="0"/>
    <s v="FROX JK-S01D 613 л серый"/>
    <x v="17"/>
    <n v="613"/>
    <x v="1"/>
    <s v=" серый"/>
    <x v="1"/>
    <n v="405000"/>
    <n v="1"/>
    <n v="1.1904761904761904E-2"/>
    <n v="405000"/>
    <n v="1.6462559384110044E-2"/>
    <s v="B"/>
    <n v="1"/>
    <n v="5"/>
    <n v="2"/>
    <s v="Defrost"/>
    <n v="180"/>
    <n v="86"/>
    <n v="76"/>
    <n v="7"/>
    <n v="-22"/>
  </r>
  <r>
    <n v="142298659"/>
    <x v="0"/>
    <s v="LUX 700 л серый"/>
    <x v="24"/>
    <n v="700"/>
    <x v="3"/>
    <s v=" серый"/>
    <x v="1"/>
    <n v="385000"/>
    <n v="1"/>
    <n v="8.6206896551724137E-3"/>
    <n v="394000"/>
    <n v="8.7451810501071349E-3"/>
    <s v="C"/>
    <n v="2"/>
    <n v="5"/>
    <n v="0"/>
    <s v="Defrost"/>
    <n v="200"/>
    <n v="80"/>
    <n v="76"/>
    <n v="7"/>
    <n v="-24"/>
  </r>
  <r>
    <n v="116903955"/>
    <x v="1"/>
    <s v="AVANGARD AF-750 750 л белый"/>
    <x v="2"/>
    <n v="750"/>
    <x v="3"/>
    <s v=" белый"/>
    <x v="1"/>
    <n v="309990"/>
    <n v="1"/>
    <n v="8.6206896551724137E-3"/>
    <n v="387008"/>
    <n v="8.589987380304219E-3"/>
    <s v="A"/>
    <n v="1"/>
    <n v="4.9000000000000004"/>
    <n v="22"/>
    <s v="Defrost"/>
    <n v="188"/>
    <n v="95.2"/>
    <n v="73.5"/>
    <n v="1"/>
    <n v="-18"/>
  </r>
  <r>
    <n v="143852360"/>
    <x v="0"/>
    <s v="AOLIEGE SD/SC-105Y 105 л белый"/>
    <x v="25"/>
    <n v="105"/>
    <x v="11"/>
    <s v=" белый"/>
    <x v="1"/>
    <n v="90800"/>
    <n v="4"/>
    <n v="0.11764705882352941"/>
    <n v="383837"/>
    <n v="9.9968251810284903E-2"/>
    <s v="B"/>
    <n v="2"/>
    <n v="4.5999999999999996"/>
    <n v="5"/>
    <s v="ручное"/>
    <n v="58"/>
    <n v="78"/>
    <n v="63"/>
    <n v="2"/>
    <n v="-18"/>
  </r>
  <r>
    <n v="136844048"/>
    <x v="0"/>
    <s v="Haier SD-605FPEL 570 л белый"/>
    <x v="7"/>
    <n v="570"/>
    <x v="2"/>
    <s v=" белый"/>
    <x v="1"/>
    <n v="379990"/>
    <n v="1"/>
    <n v="8.1967213114754103E-3"/>
    <n v="379990"/>
    <n v="1.11989515147791E-2"/>
    <s v="C"/>
    <n v="3"/>
    <n v="5"/>
    <n v="0"/>
    <s v="ручное"/>
    <n v="175"/>
    <n v="81.8"/>
    <n v="65"/>
    <n v="6"/>
    <n v="-24"/>
  </r>
  <r>
    <n v="108427272"/>
    <x v="1"/>
    <s v="Морозильник Leadbros BC/BD800 800 л белый"/>
    <x v="13"/>
    <n v="800"/>
    <x v="8"/>
    <s v=" белый"/>
    <x v="1"/>
    <n v="379990"/>
    <n v="1"/>
    <n v="7.6923076923076927E-2"/>
    <n v="379990"/>
    <n v="6.8862495736755666E-2"/>
    <s v="C"/>
    <n v="1"/>
    <n v="5"/>
    <n v="15"/>
    <s v="ручное"/>
    <n v="195"/>
    <n v="88"/>
    <n v="84"/>
    <n v="2"/>
    <n v="-18"/>
  </r>
  <r>
    <n v="132088486"/>
    <x v="0"/>
    <s v="Бирюса CF68 680 л белый"/>
    <x v="1"/>
    <n v="680"/>
    <x v="1"/>
    <s v=" белый"/>
    <x v="1"/>
    <n v="371725"/>
    <n v="1"/>
    <n v="1.1904761904761904E-2"/>
    <n v="378595"/>
    <n v="1.5389241160560846E-2"/>
    <s v="A"/>
    <n v="5"/>
    <n v="5"/>
    <n v="17"/>
    <s v="ручное"/>
    <n v="202.5"/>
    <n v="88.5"/>
    <n v="66.5"/>
    <n v="6"/>
    <n v="-25"/>
  </r>
  <r>
    <n v="129607134"/>
    <x v="0"/>
    <s v="Friggier SD/SC 246SY 246 л серый"/>
    <x v="9"/>
    <n v="246"/>
    <x v="4"/>
    <s v=" серый"/>
    <x v="1"/>
    <n v="183200"/>
    <n v="1"/>
    <n v="1.282051282051282E-2"/>
    <n v="366716"/>
    <n v="2.6841837330338188E-2"/>
    <s v="C"/>
    <n v="5"/>
    <n v="5"/>
    <n v="1"/>
    <s v="ручное"/>
    <n v="103.3"/>
    <n v="91"/>
    <n v="62"/>
    <n v="3"/>
    <n v="-36"/>
  </r>
  <r>
    <n v="106636721"/>
    <x v="0"/>
    <s v="Leadbros CI-17 600 л серый"/>
    <x v="13"/>
    <n v="600"/>
    <x v="1"/>
    <s v=" серый"/>
    <x v="1"/>
    <n v="371000"/>
    <n v="1"/>
    <n v="1.1904761904761904E-2"/>
    <n v="364900"/>
    <n v="1.4832562763609272E-2"/>
    <s v="C"/>
    <n v="1"/>
    <n v="5"/>
    <n v="1"/>
    <s v="ручное"/>
    <n v="165"/>
    <n v="87"/>
    <n v="76"/>
    <n v="5"/>
    <n v="0"/>
  </r>
  <r>
    <n v="140652811"/>
    <x v="1"/>
    <s v="Friggier BC/BD 800 800 л белый"/>
    <x v="9"/>
    <n v="800"/>
    <x v="8"/>
    <s v=" белый"/>
    <x v="1"/>
    <n v="333000"/>
    <n v="1"/>
    <n v="7.6923076923076927E-2"/>
    <n v="333000"/>
    <n v="6.0346880392483065E-2"/>
    <s v="A"/>
    <n v="1"/>
    <n v="5"/>
    <n v="7"/>
    <s v="ручное"/>
    <n v="194.5"/>
    <n v="88"/>
    <n v="80"/>
    <n v="2"/>
    <n v="-18"/>
  </r>
  <r>
    <n v="104775274"/>
    <x v="1"/>
    <s v="Xing BC/BD 500 500 л белый"/>
    <x v="30"/>
    <n v="500"/>
    <x v="2"/>
    <s v=" белый"/>
    <x v="1"/>
    <n v="279345"/>
    <n v="1"/>
    <n v="8.1967213114754103E-3"/>
    <n v="330000"/>
    <n v="9.7256612012871467E-3"/>
    <s v="B"/>
    <n v="3"/>
    <n v="5"/>
    <n v="8"/>
    <s v="ручное"/>
    <n v="153"/>
    <n v="80"/>
    <n v="75"/>
    <n v="0"/>
    <n v="-24"/>
  </r>
  <r>
    <n v="103923411"/>
    <x v="2"/>
    <s v="BEKO BU1200HCA 96 л белый"/>
    <x v="28"/>
    <n v="96"/>
    <x v="15"/>
    <s v=" белый"/>
    <x v="1"/>
    <n v="302770"/>
    <n v="1"/>
    <n v="0.33333333333333331"/>
    <n v="304950"/>
    <n v="0.38850598142509524"/>
    <s v="C"/>
    <n v="6"/>
    <n v="4.9000000000000004"/>
    <n v="14"/>
    <s v="ручное"/>
    <n v="59.5"/>
    <n v="81.8"/>
    <n v="54.5"/>
    <n v="0"/>
    <n v="-24"/>
  </r>
  <r>
    <n v="150941920"/>
    <x v="0"/>
    <s v="Морозильник Haibaite SD/SC-1500QY 518 л серый"/>
    <x v="27"/>
    <n v="518"/>
    <x v="2"/>
    <s v=" серый"/>
    <x v="1"/>
    <n v="289523"/>
    <n v="1"/>
    <n v="8.1967213114754103E-3"/>
    <n v="289523"/>
    <n v="8.5327351756977528E-3"/>
    <s v="C"/>
    <n v="1"/>
    <n v="0"/>
    <n v="0"/>
    <s v="ручное"/>
    <n v="149.5"/>
    <n v="85"/>
    <n v="76.5"/>
    <n v="4"/>
    <n v="-20"/>
  </r>
  <r>
    <n v="154663956"/>
    <x v="0"/>
    <s v="LUX SD/SC-1500 518 л серый"/>
    <x v="24"/>
    <n v="518"/>
    <x v="2"/>
    <s v=" серый"/>
    <x v="1"/>
    <n v="280000"/>
    <n v="1"/>
    <n v="8.1967213114754103E-3"/>
    <n v="280556"/>
    <n v="8.268462436328233E-3"/>
    <s v="C"/>
    <n v="1"/>
    <n v="0"/>
    <n v="0"/>
    <s v="ручное"/>
    <n v="150"/>
    <n v="83.5"/>
    <n v="75"/>
    <n v="5"/>
    <n v="-20"/>
  </r>
  <r>
    <n v="119264283"/>
    <x v="0"/>
    <s v="Muxxed SD/SC-105Y 105 л белый"/>
    <x v="3"/>
    <n v="105"/>
    <x v="11"/>
    <s v=" белый"/>
    <x v="1"/>
    <n v="86700"/>
    <n v="3"/>
    <n v="8.8235294117647065E-2"/>
    <n v="270770"/>
    <n v="7.0520568737956063E-2"/>
    <s v="B"/>
    <n v="1"/>
    <n v="4.9000000000000004"/>
    <n v="13"/>
    <s v="ручное"/>
    <n v="60"/>
    <n v="80"/>
    <n v="55"/>
    <n v="1"/>
    <n v="-18"/>
  </r>
  <r>
    <n v="121586076"/>
    <x v="1"/>
    <s v="Морозильник Leadbros J BC/BD 500AT 500 л белый"/>
    <x v="13"/>
    <n v="500"/>
    <x v="2"/>
    <s v=" белый"/>
    <x v="1"/>
    <n v="267700"/>
    <n v="1"/>
    <n v="8.1967213114754103E-3"/>
    <n v="267700"/>
    <n v="7.8895742532865739E-3"/>
    <s v="B"/>
    <n v="1"/>
    <n v="5"/>
    <n v="2"/>
    <s v="Defrost"/>
    <n v="165"/>
    <n v="84"/>
    <n v="77"/>
    <n v="0"/>
    <n v="-18"/>
  </r>
  <r>
    <n v="122074021"/>
    <x v="0"/>
    <s v="Friggier J SD/SC 366SY 366 л серый"/>
    <x v="9"/>
    <n v="366"/>
    <x v="5"/>
    <s v=" серый"/>
    <x v="1"/>
    <n v="217800"/>
    <n v="1"/>
    <n v="1.1627906976744186E-2"/>
    <n v="217800"/>
    <n v="1.2088622591371088E-2"/>
    <s v="C"/>
    <n v="5"/>
    <n v="5"/>
    <n v="1"/>
    <s v="Defrost"/>
    <n v="139"/>
    <n v="100"/>
    <n v="72"/>
    <n v="4"/>
    <n v="-18"/>
  </r>
  <r>
    <n v="116214532"/>
    <x v="1"/>
    <s v="XINGX BC/BD501 501 л белый"/>
    <x v="26"/>
    <n v="501"/>
    <x v="2"/>
    <s v=" белый"/>
    <x v="1"/>
    <n v="288888"/>
    <n v="1"/>
    <n v="8.1967213114754103E-3"/>
    <n v="191814"/>
    <n v="5.6530847807990696E-3"/>
    <s v="C"/>
    <n v="2"/>
    <n v="5"/>
    <n v="5"/>
    <s v="ручное"/>
    <n v="153"/>
    <n v="88"/>
    <n v="67"/>
    <n v="1"/>
    <n v="-24"/>
  </r>
  <r>
    <n v="117729101"/>
    <x v="0"/>
    <s v="Almagreen SC/SD-380 380 л серый"/>
    <x v="20"/>
    <n v="380"/>
    <x v="5"/>
    <s v=" серый"/>
    <x v="1"/>
    <n v="189990"/>
    <n v="1"/>
    <n v="1.1627906976744186E-2"/>
    <n v="189989"/>
    <n v="1.0545019823287427E-2"/>
    <s v="C"/>
    <n v="1"/>
    <n v="4.8"/>
    <n v="16"/>
    <s v="Defrost"/>
    <n v="122"/>
    <n v="90"/>
    <n v="70"/>
    <n v="4"/>
    <n v="-18"/>
  </r>
  <r>
    <n v="137444919"/>
    <x v="0"/>
    <s v="TIGER SD-700NL 700 л черный"/>
    <x v="0"/>
    <n v="700"/>
    <x v="3"/>
    <s v=" черный"/>
    <x v="2"/>
    <n v="389340"/>
    <n v="59"/>
    <n v="0.46456692913385828"/>
    <n v="21743871"/>
    <n v="0.43116796130189067"/>
    <s v="A"/>
    <n v="3"/>
    <n v="4.9000000000000004"/>
    <n v="46"/>
    <s v="Defrost"/>
    <n v="200"/>
    <n v="85"/>
    <n v="76"/>
    <n v="7"/>
    <n v="-24"/>
  </r>
  <r>
    <n v="100018121"/>
    <x v="1"/>
    <s v="Бирюса 680KXQ 600 л белый"/>
    <x v="1"/>
    <n v="600"/>
    <x v="1"/>
    <s v=" белый"/>
    <x v="2"/>
    <n v="292320"/>
    <n v="58"/>
    <n v="0.65909090909090906"/>
    <n v="16315860"/>
    <n v="0.62112656255157139"/>
    <s v="A"/>
    <n v="6"/>
    <n v="4.7"/>
    <n v="146"/>
    <s v="ручное"/>
    <n v="203.5"/>
    <n v="81"/>
    <n v="66.5"/>
    <n v="2"/>
    <n v="-18"/>
  </r>
  <r>
    <n v="137446425"/>
    <x v="0"/>
    <s v="TIGER SD-500NL 500 л черный, серый"/>
    <x v="0"/>
    <n v="500"/>
    <x v="2"/>
    <s v=" черный, серый"/>
    <x v="2"/>
    <n v="291750"/>
    <n v="35"/>
    <n v="0.20710059171597633"/>
    <n v="10414929"/>
    <n v="0.21359756390061302"/>
    <s v="A"/>
    <n v="3"/>
    <n v="4.9000000000000004"/>
    <n v="25"/>
    <s v="Defrost"/>
    <n v="150"/>
    <n v="85"/>
    <n v="76"/>
    <n v="5"/>
    <n v="-24"/>
  </r>
  <r>
    <n v="2800664"/>
    <x v="1"/>
    <s v="Бирюса 560KX 510 л белый"/>
    <x v="1"/>
    <n v="510"/>
    <x v="2"/>
    <s v=" белый"/>
    <x v="2"/>
    <n v="260200"/>
    <n v="39"/>
    <n v="0.23076923076923078"/>
    <n v="10180643"/>
    <n v="0.20879264215260887"/>
    <s v="A"/>
    <n v="14"/>
    <n v="4.8"/>
    <n v="192"/>
    <s v="ручное"/>
    <n v="179"/>
    <n v="81"/>
    <n v="66"/>
    <n v="2"/>
    <n v="-18"/>
  </r>
  <r>
    <n v="137444929"/>
    <x v="0"/>
    <s v="TIGER SD-1000NL 1000 л черный"/>
    <x v="0"/>
    <n v="100"/>
    <x v="11"/>
    <s v=" черный"/>
    <x v="2"/>
    <n v="700000"/>
    <n v="18"/>
    <n v="0.24324324324324326"/>
    <n v="10018206"/>
    <n v="0.3583171999127438"/>
    <s v="A"/>
    <n v="1"/>
    <n v="4.9000000000000004"/>
    <n v="39"/>
    <s v="Defrost"/>
    <n v="250"/>
    <n v="85"/>
    <n v="76"/>
    <n v="9"/>
    <n v="-18"/>
  </r>
  <r>
    <n v="121978926"/>
    <x v="0"/>
    <s v="AVANGARD SD/SC 328 л белый"/>
    <x v="2"/>
    <n v="328"/>
    <x v="5"/>
    <s v=" белый"/>
    <x v="2"/>
    <n v="204900"/>
    <n v="47"/>
    <n v="0.34057971014492755"/>
    <n v="9321306"/>
    <n v="0.33150127485635594"/>
    <s v="A"/>
    <n v="2"/>
    <n v="4.9000000000000004"/>
    <n v="138"/>
    <s v="ручное"/>
    <n v="124"/>
    <n v="82.6"/>
    <n v="69.3"/>
    <n v="4"/>
    <n v="-18"/>
  </r>
  <r>
    <n v="121978898"/>
    <x v="0"/>
    <s v="AVANGARD SD/SC 718 л серый"/>
    <x v="2"/>
    <n v="718"/>
    <x v="3"/>
    <s v=" серый"/>
    <x v="2"/>
    <n v="424980"/>
    <n v="18"/>
    <n v="0.14173228346456693"/>
    <n v="7708766"/>
    <n v="0.1528602207202816"/>
    <s v="A"/>
    <n v="6"/>
    <n v="4.9000000000000004"/>
    <n v="124"/>
    <s v="ручное"/>
    <n v="200"/>
    <n v="86"/>
    <n v="75.7"/>
    <n v="6"/>
    <n v="-18"/>
  </r>
  <r>
    <n v="121978941"/>
    <x v="0"/>
    <s v="AVANGARD SD/SC-268Y 268 л голубой"/>
    <x v="2"/>
    <n v="268"/>
    <x v="4"/>
    <s v=" голубой"/>
    <x v="2"/>
    <n v="172900"/>
    <n v="43"/>
    <n v="0.58108108108108103"/>
    <n v="7371869"/>
    <n v="0.58477899213152085"/>
    <s v="A"/>
    <n v="2"/>
    <n v="4.9000000000000004"/>
    <n v="61"/>
    <s v="ручное"/>
    <n v="109.5"/>
    <n v="85"/>
    <n v="60"/>
    <n v="3"/>
    <n v="-18"/>
  </r>
  <r>
    <n v="148881342"/>
    <x v="0"/>
    <s v="FROX SD-SC-1250BY 1250 л серый"/>
    <x v="17"/>
    <n v="125"/>
    <x v="11"/>
    <s v=" серый"/>
    <x v="2"/>
    <n v="556000"/>
    <n v="12"/>
    <n v="0.16216216216216217"/>
    <n v="6751329"/>
    <n v="0.24147210618045833"/>
    <s v="A"/>
    <n v="1"/>
    <n v="5"/>
    <n v="4"/>
    <s v="Defrost"/>
    <n v="250"/>
    <n v="84"/>
    <n v="75"/>
    <n v="9"/>
    <n v="-22"/>
  </r>
  <r>
    <n v="140700154"/>
    <x v="0"/>
    <s v="SAMGA SC/SD-338S 338 л серый"/>
    <x v="32"/>
    <n v="338"/>
    <x v="5"/>
    <s v=" серый"/>
    <x v="2"/>
    <n v="199000"/>
    <n v="31"/>
    <n v="0.22463768115942029"/>
    <n v="6314973"/>
    <n v="0.2245845807640546"/>
    <s v="A"/>
    <n v="4"/>
    <n v="5"/>
    <n v="19"/>
    <s v="ручное"/>
    <n v="130"/>
    <n v="86"/>
    <n v="65"/>
    <n v="5"/>
    <n v="-25"/>
  </r>
  <r>
    <n v="117503807"/>
    <x v="0"/>
    <s v="MEISHIDIANQI LG-700L 700 л серый"/>
    <x v="6"/>
    <n v="700"/>
    <x v="3"/>
    <s v=" серый"/>
    <x v="2"/>
    <n v="393935"/>
    <n v="11"/>
    <n v="8.6614173228346455E-2"/>
    <n v="4479622"/>
    <n v="8.8828225900673255E-2"/>
    <s v="A"/>
    <n v="3"/>
    <n v="4.9000000000000004"/>
    <n v="7"/>
    <s v="No Frost"/>
    <n v="200"/>
    <n v="85"/>
    <n v="75"/>
    <n v="7"/>
    <n v="-24"/>
  </r>
  <r>
    <n v="120039135"/>
    <x v="0"/>
    <s v="Almagreen SC/SD 280 л синий"/>
    <x v="20"/>
    <n v="280"/>
    <x v="4"/>
    <s v=" синий"/>
    <x v="2"/>
    <n v="179990"/>
    <n v="25"/>
    <n v="0.33783783783783783"/>
    <n v="4115529"/>
    <n v="0.3264673993403906"/>
    <s v="A"/>
    <n v="1"/>
    <n v="4.9000000000000004"/>
    <n v="17"/>
    <s v="Defrost"/>
    <n v="69"/>
    <n v="90"/>
    <n v="102"/>
    <n v="4"/>
    <n v="-24"/>
  </r>
  <r>
    <n v="113954312"/>
    <x v="1"/>
    <s v="Haier HCE520RF 516 л белый"/>
    <x v="7"/>
    <n v="516"/>
    <x v="2"/>
    <s v=" белый"/>
    <x v="2"/>
    <n v="369990"/>
    <n v="13"/>
    <n v="7.6923076923076927E-2"/>
    <n v="4011086"/>
    <n v="8.2262509729625066E-2"/>
    <s v="A"/>
    <n v="3"/>
    <n v="5"/>
    <n v="34"/>
    <s v="ручное"/>
    <n v="165"/>
    <n v="84.5"/>
    <n v="74.5"/>
    <n v="0"/>
    <n v="-29"/>
  </r>
  <r>
    <n v="138886743"/>
    <x v="2"/>
    <s v="Foodsense VF-1200L 1200 л стальной"/>
    <x v="21"/>
    <n v="120"/>
    <x v="11"/>
    <s v=" стальной"/>
    <x v="2"/>
    <n v="539065"/>
    <n v="7"/>
    <n v="9.45945945945946E-2"/>
    <n v="3953849"/>
    <n v="0.14141574874361759"/>
    <s v="A"/>
    <n v="3"/>
    <n v="5"/>
    <n v="3"/>
    <s v="Defrost"/>
    <n v="120"/>
    <n v="196"/>
    <n v="76"/>
    <n v="0"/>
    <n v="-14"/>
  </r>
  <r>
    <n v="141507444"/>
    <x v="0"/>
    <s v="ORION SD-318 318 л серый"/>
    <x v="4"/>
    <n v="318"/>
    <x v="5"/>
    <s v=" серый"/>
    <x v="2"/>
    <n v="550000"/>
    <n v="18"/>
    <n v="0.13043478260869565"/>
    <n v="3564403"/>
    <n v="0.12676379668276308"/>
    <s v="A"/>
    <n v="3"/>
    <n v="4.9000000000000004"/>
    <n v="20"/>
    <s v="ручное"/>
    <n v="129.4"/>
    <n v="83"/>
    <n v="59.8"/>
    <n v="5"/>
    <n v="-18"/>
  </r>
  <r>
    <n v="120309401"/>
    <x v="1"/>
    <s v="AVANGARD AF-550 WHITE 550 л белый"/>
    <x v="2"/>
    <n v="550"/>
    <x v="2"/>
    <s v=" белый"/>
    <x v="2"/>
    <n v="274990"/>
    <n v="11"/>
    <n v="6.5088757396449703E-2"/>
    <n v="3052981"/>
    <n v="6.2612938046419472E-2"/>
    <s v="A"/>
    <n v="3"/>
    <n v="5"/>
    <n v="50"/>
    <s v="ручное"/>
    <n v="165"/>
    <n v="83.5"/>
    <n v="73"/>
    <n v="2"/>
    <n v="-18"/>
  </r>
  <r>
    <n v="157671625"/>
    <x v="0"/>
    <s v="Aucma SD-540 540 л белый"/>
    <x v="14"/>
    <n v="540"/>
    <x v="2"/>
    <s v=" белый"/>
    <x v="2"/>
    <n v="298990"/>
    <n v="11"/>
    <n v="6.5088757396449703E-2"/>
    <n v="3052119"/>
    <n v="6.2595259471742451E-2"/>
    <s v="A"/>
    <n v="2"/>
    <n v="5"/>
    <n v="4"/>
    <s v="ручное"/>
    <n v="150"/>
    <n v="85"/>
    <n v="70"/>
    <n v="7"/>
    <n v="-20"/>
  </r>
  <r>
    <n v="141583677"/>
    <x v="1"/>
    <s v="ORION BD 660S 660 л серый"/>
    <x v="4"/>
    <n v="660"/>
    <x v="1"/>
    <s v=" серый"/>
    <x v="2"/>
    <n v="263990"/>
    <n v="11"/>
    <n v="0.125"/>
    <n v="2945301"/>
    <n v="0.112124318657411"/>
    <s v="A"/>
    <n v="1"/>
    <n v="4.7"/>
    <n v="11"/>
    <s v="ручное"/>
    <n v="180"/>
    <n v="84"/>
    <n v="67.400000000000006"/>
    <n v="2"/>
    <n v="-24"/>
  </r>
  <r>
    <n v="116138932"/>
    <x v="0"/>
    <s v="SAMGA SC/SD-338 338 л серебристый"/>
    <x v="32"/>
    <n v="338"/>
    <x v="5"/>
    <s v=" серебристый"/>
    <x v="2"/>
    <n v="199000"/>
    <n v="14"/>
    <n v="0.10144927536231885"/>
    <n v="2825299"/>
    <n v="0.10047843299537507"/>
    <s v="A"/>
    <n v="2"/>
    <n v="5"/>
    <n v="81"/>
    <s v="ручное"/>
    <n v="130"/>
    <n v="85"/>
    <n v="65"/>
    <n v="5"/>
    <n v="-24"/>
  </r>
  <r>
    <n v="141583649"/>
    <x v="1"/>
    <s v="ORION BD-560S 560 л серый"/>
    <x v="4"/>
    <n v="560"/>
    <x v="2"/>
    <s v=" серый"/>
    <x v="2"/>
    <n v="258990"/>
    <n v="12"/>
    <n v="7.1005917159763315E-2"/>
    <n v="2792299"/>
    <n v="5.7266666348096837E-2"/>
    <s v="A"/>
    <n v="1"/>
    <n v="4.7"/>
    <n v="21"/>
    <s v="ручное"/>
    <n v="160"/>
    <n v="84"/>
    <n v="67.400000000000006"/>
    <n v="2"/>
    <n v="-24"/>
  </r>
  <r>
    <n v="145145984"/>
    <x v="1"/>
    <s v="AVANGARD BD/BC-1080 1080 л белый"/>
    <x v="2"/>
    <n v="1080"/>
    <x v="0"/>
    <s v=" белый"/>
    <x v="2"/>
    <n v="649900"/>
    <n v="6"/>
    <n v="0.54545454545454541"/>
    <n v="2740556"/>
    <n v="0.50234422514826227"/>
    <s v="A"/>
    <n v="1"/>
    <n v="5"/>
    <n v="7"/>
    <s v="ручное"/>
    <n v="260"/>
    <n v="93.5"/>
    <n v="86.4"/>
    <n v="1"/>
    <n v="-35"/>
  </r>
  <r>
    <n v="145109215"/>
    <x v="0"/>
    <s v="BL18 1240 л темно-синий"/>
    <x v="5"/>
    <n v="1240"/>
    <x v="6"/>
    <s v=" темно-синий"/>
    <x v="2"/>
    <n v="523699"/>
    <n v="5"/>
    <n v="0.625"/>
    <n v="2687104"/>
    <n v="0.54623673313068943"/>
    <s v="A"/>
    <n v="1"/>
    <n v="4.8"/>
    <n v="3"/>
    <s v="Defrost"/>
    <n v="250"/>
    <n v="80"/>
    <n v="76"/>
    <n v="9"/>
    <n v="-25"/>
  </r>
  <r>
    <n v="110653507"/>
    <x v="0"/>
    <s v="Bonvini BF 2100L 1100 л белый-серый"/>
    <x v="16"/>
    <n v="1100"/>
    <x v="14"/>
    <s v=" белый-серый"/>
    <x v="2"/>
    <n v="1350000"/>
    <n v="2"/>
    <n v="0.2857142857142857"/>
    <n v="2550000"/>
    <n v="0.50401123767173683"/>
    <s v="A"/>
    <n v="1"/>
    <n v="5"/>
    <n v="3"/>
    <s v="ручное"/>
    <n v="210"/>
    <n v="85"/>
    <n v="96"/>
    <n v="6"/>
    <n v="-25"/>
  </r>
  <r>
    <n v="116903955"/>
    <x v="1"/>
    <s v="AVANGARD AF-750 750 л белый"/>
    <x v="2"/>
    <n v="750"/>
    <x v="3"/>
    <s v=" белый"/>
    <x v="2"/>
    <n v="309990"/>
    <n v="7"/>
    <n v="5.5118110236220472E-2"/>
    <n v="2521992"/>
    <n v="5.0009593464736699E-2"/>
    <s v="A"/>
    <n v="1"/>
    <n v="4.9000000000000004"/>
    <n v="22"/>
    <s v="Defrost"/>
    <n v="188"/>
    <n v="95.2"/>
    <n v="73.5"/>
    <n v="1"/>
    <n v="-18"/>
  </r>
  <r>
    <n v="110555379"/>
    <x v="0"/>
    <s v="FROSTOR F 800 C 800 л белый-серый"/>
    <x v="18"/>
    <n v="800"/>
    <x v="8"/>
    <s v=" белый-серый"/>
    <x v="2"/>
    <n v="530000"/>
    <n v="4"/>
    <n v="0.14285714285714285"/>
    <n v="2203718"/>
    <n v="0.1638350698306246"/>
    <s v="A"/>
    <n v="1"/>
    <n v="4.8"/>
    <n v="41"/>
    <s v="ручное"/>
    <n v="200"/>
    <n v="84"/>
    <n v="60"/>
    <n v="9"/>
    <n v="-22"/>
  </r>
  <r>
    <n v="133958993"/>
    <x v="0"/>
    <s v="Haier GTS2500GB 800 л серый"/>
    <x v="7"/>
    <n v="800"/>
    <x v="8"/>
    <s v=" серый"/>
    <x v="2"/>
    <n v="734368"/>
    <n v="3"/>
    <n v="0.10714285714285714"/>
    <n v="2203104"/>
    <n v="0.1637894220967149"/>
    <s v="B"/>
    <n v="2"/>
    <n v="5"/>
    <n v="0"/>
    <s v="No Frost"/>
    <n v="250"/>
    <n v="81"/>
    <n v="86"/>
    <n v="0"/>
    <n v="0"/>
  </r>
  <r>
    <n v="121978911"/>
    <x v="0"/>
    <s v="AVANGARD SD/SC518 518 л серый"/>
    <x v="2"/>
    <n v="518"/>
    <x v="2"/>
    <s v=" серый"/>
    <x v="2"/>
    <n v="309990"/>
    <n v="6"/>
    <n v="3.5502958579881658E-2"/>
    <n v="2124082"/>
    <n v="4.356234600592495E-2"/>
    <s v="A"/>
    <n v="8"/>
    <n v="4.9000000000000004"/>
    <n v="55"/>
    <s v="ручное"/>
    <n v="147.5"/>
    <n v="86"/>
    <n v="75.7"/>
    <n v="4"/>
    <n v="-18"/>
  </r>
  <r>
    <n v="108699680"/>
    <x v="1"/>
    <s v="XINGX XF-850 850 л белый"/>
    <x v="26"/>
    <n v="850"/>
    <x v="8"/>
    <s v=" белый"/>
    <x v="2"/>
    <n v="379885"/>
    <n v="5"/>
    <n v="0.17857142857142858"/>
    <n v="2106415"/>
    <n v="0.1566010935234341"/>
    <s v="A"/>
    <n v="4"/>
    <n v="4.8"/>
    <n v="3"/>
    <s v="ручное"/>
    <n v="201"/>
    <n v="78"/>
    <n v="85"/>
    <n v="1"/>
    <n v="0"/>
  </r>
  <r>
    <n v="148808069"/>
    <x v="0"/>
    <s v="Aucma SD-420 420 л белый"/>
    <x v="14"/>
    <n v="420"/>
    <x v="12"/>
    <s v=" белый"/>
    <x v="2"/>
    <n v="279990"/>
    <n v="9"/>
    <n v="0.45"/>
    <n v="2080637"/>
    <n v="0.42973584500373324"/>
    <s v="A"/>
    <n v="2"/>
    <n v="5"/>
    <n v="13"/>
    <s v="Defrost"/>
    <n v="139.30000000000001"/>
    <n v="89"/>
    <n v="77.599999999999994"/>
    <n v="6"/>
    <n v="0"/>
  </r>
  <r>
    <n v="121978785"/>
    <x v="0"/>
    <s v="AVANGARD CQS25L 1000 л серый"/>
    <x v="2"/>
    <n v="100"/>
    <x v="11"/>
    <s v=" серый"/>
    <x v="2"/>
    <n v="679990"/>
    <n v="3"/>
    <n v="4.0540540540540543E-2"/>
    <n v="2019970"/>
    <n v="7.2247465694730686E-2"/>
    <s v="A"/>
    <n v="2"/>
    <n v="4.9000000000000004"/>
    <n v="47"/>
    <s v="ручное"/>
    <n v="254.5"/>
    <n v="86"/>
    <n v="89"/>
    <n v="5"/>
    <n v="0"/>
  </r>
  <r>
    <n v="142956771"/>
    <x v="1"/>
    <s v="AVANGARD BD/BC-798 718 л белый"/>
    <x v="2"/>
    <n v="718"/>
    <x v="3"/>
    <s v=" белый"/>
    <x v="2"/>
    <n v="399990"/>
    <n v="5"/>
    <n v="3.937007874015748E-2"/>
    <n v="1999950"/>
    <n v="3.9657812732871542E-2"/>
    <s v="A"/>
    <n v="2"/>
    <n v="4.9000000000000004"/>
    <n v="9"/>
    <s v="Defrost"/>
    <n v="197"/>
    <n v="86.4"/>
    <n v="93.5"/>
    <n v="0"/>
    <n v="-35"/>
  </r>
  <r>
    <n v="112587145"/>
    <x v="0"/>
    <s v="Haier GTS2500G 741 л серый"/>
    <x v="7"/>
    <n v="741"/>
    <x v="3"/>
    <s v=" серый"/>
    <x v="2"/>
    <n v="1065000"/>
    <n v="1"/>
    <n v="7.874015748031496E-3"/>
    <n v="1856503"/>
    <n v="3.681334448961935E-2"/>
    <s v="B"/>
    <n v="1"/>
    <n v="5"/>
    <n v="0"/>
    <s v="No Frost"/>
    <n v="250.4"/>
    <n v="81"/>
    <n v="86.4"/>
    <n v="0"/>
    <n v="-24"/>
  </r>
  <r>
    <n v="132115831"/>
    <x v="0"/>
    <s v="AVANGARD SD/SC-328Y (A1u) 328 л белый, серый"/>
    <x v="2"/>
    <n v="328"/>
    <x v="5"/>
    <s v=" белый, серый"/>
    <x v="2"/>
    <n v="229975"/>
    <n v="8"/>
    <n v="5.7971014492753624E-2"/>
    <n v="1849920"/>
    <n v="6.5790227075719854E-2"/>
    <s v="A"/>
    <n v="4"/>
    <n v="5"/>
    <n v="40"/>
    <s v="ручное"/>
    <n v="129"/>
    <n v="84.1"/>
    <n v="66"/>
    <n v="4"/>
    <n v="-18"/>
  </r>
  <r>
    <n v="129159431"/>
    <x v="1"/>
    <s v="BC/BD 1388BX 1380 л белый"/>
    <x v="5"/>
    <n v="1380"/>
    <x v="13"/>
    <s v=" белый"/>
    <x v="2"/>
    <n v="989000"/>
    <n v="3"/>
    <n v="0.75"/>
    <n v="1848000"/>
    <n v="0.64854962475016975"/>
    <s v="B"/>
    <n v="1"/>
    <n v="5"/>
    <n v="1"/>
    <s v="Defrost"/>
    <n v="260"/>
    <n v="88"/>
    <n v="102"/>
    <n v="0"/>
    <n v="-18"/>
  </r>
  <r>
    <n v="110833716"/>
    <x v="2"/>
    <s v="Polair CB105-S 500 л белый"/>
    <x v="11"/>
    <n v="500"/>
    <x v="2"/>
    <s v=" белый"/>
    <x v="2"/>
    <n v="571500"/>
    <n v="3"/>
    <n v="1.7751479289940829E-2"/>
    <n v="1720384"/>
    <n v="3.5282989579054472E-2"/>
    <s v="A"/>
    <n v="4"/>
    <n v="5"/>
    <n v="3"/>
    <s v="ручное"/>
    <n v="69.7"/>
    <n v="196"/>
    <n v="69.5"/>
    <n v="0"/>
    <n v="-18"/>
  </r>
  <r>
    <n v="114860975"/>
    <x v="0"/>
    <s v="Haier SD-516AELUA 513 л белый"/>
    <x v="7"/>
    <n v="513"/>
    <x v="2"/>
    <s v=" белый"/>
    <x v="2"/>
    <n v="491000"/>
    <n v="7"/>
    <n v="4.142011834319527E-2"/>
    <n v="1631229"/>
    <n v="3.3454528644797588E-2"/>
    <s v="B"/>
    <n v="1"/>
    <n v="5"/>
    <n v="2"/>
    <s v="ручное"/>
    <n v="155"/>
    <n v="84.5"/>
    <n v="65"/>
    <n v="4"/>
    <n v="-24"/>
  </r>
  <r>
    <n v="143852360"/>
    <x v="0"/>
    <s v="AOLIEGE SD/SC-105Y 105 л белый"/>
    <x v="25"/>
    <n v="105"/>
    <x v="11"/>
    <s v=" белый"/>
    <x v="2"/>
    <n v="90800"/>
    <n v="17"/>
    <n v="0.22972972972972974"/>
    <n v="1575513"/>
    <n v="5.6350748485919207E-2"/>
    <s v="B"/>
    <n v="2"/>
    <n v="4.5999999999999996"/>
    <n v="5"/>
    <s v="ручное"/>
    <n v="58"/>
    <n v="78"/>
    <n v="63"/>
    <n v="2"/>
    <n v="-18"/>
  </r>
  <r>
    <n v="132088486"/>
    <x v="0"/>
    <s v="Бирюса CF68 680 л белый"/>
    <x v="1"/>
    <n v="680"/>
    <x v="1"/>
    <s v=" белый"/>
    <x v="2"/>
    <n v="371725"/>
    <n v="4"/>
    <n v="4.5454545454545456E-2"/>
    <n v="1538027"/>
    <n v="5.8550969646804139E-2"/>
    <s v="A"/>
    <n v="5"/>
    <n v="5"/>
    <n v="17"/>
    <s v="ручное"/>
    <n v="202.5"/>
    <n v="88.5"/>
    <n v="66.5"/>
    <n v="6"/>
    <n v="-25"/>
  </r>
  <r>
    <n v="106635013"/>
    <x v="1"/>
    <s v="МОРОЗ BC/BD 850L 850 л белый-синий"/>
    <x v="33"/>
    <n v="850"/>
    <x v="8"/>
    <s v=" белый-синий"/>
    <x v="2"/>
    <n v="382945"/>
    <n v="4"/>
    <n v="0.14285714285714285"/>
    <n v="1511729"/>
    <n v="0.11238925592112071"/>
    <s v="B"/>
    <n v="5"/>
    <n v="4.8"/>
    <n v="13"/>
    <s v="ручное"/>
    <n v="200.1"/>
    <n v="87"/>
    <n v="85.5"/>
    <n v="0"/>
    <n v="-18"/>
  </r>
  <r>
    <n v="156640750"/>
    <x v="0"/>
    <s v="SAMGA SC/SD 338 338 л мультиколор"/>
    <x v="32"/>
    <n v="338"/>
    <x v="5"/>
    <s v=" мультиколор"/>
    <x v="2"/>
    <n v="213999"/>
    <n v="7"/>
    <n v="5.0724637681159424E-2"/>
    <n v="1505468"/>
    <n v="5.3540197184326795E-2"/>
    <s v="A"/>
    <n v="5"/>
    <n v="5"/>
    <n v="4"/>
    <s v="ручное"/>
    <n v="128"/>
    <n v="83"/>
    <n v="60"/>
    <n v="5"/>
    <n v="-24"/>
  </r>
  <r>
    <n v="102055246"/>
    <x v="2"/>
    <s v="Polair CB107-S 700 л белый"/>
    <x v="11"/>
    <n v="700"/>
    <x v="3"/>
    <s v=" белый"/>
    <x v="2"/>
    <n v="632820"/>
    <n v="2"/>
    <n v="1.5748031496062992E-2"/>
    <n v="1491688"/>
    <n v="2.9579281161964892E-2"/>
    <s v="A"/>
    <n v="3"/>
    <n v="5"/>
    <n v="5"/>
    <s v="ручное"/>
    <n v="73"/>
    <n v="199"/>
    <n v="96"/>
    <n v="0"/>
    <n v="-18"/>
  </r>
  <r>
    <n v="100620937"/>
    <x v="1"/>
    <s v="Almagreen BDBC 1088 1088 л белый"/>
    <x v="20"/>
    <n v="1088"/>
    <x v="0"/>
    <s v=" белый"/>
    <x v="2"/>
    <n v="459600"/>
    <n v="3"/>
    <n v="0.27272727272727271"/>
    <n v="1422834"/>
    <n v="0.26080563332572027"/>
    <s v="B"/>
    <n v="3"/>
    <n v="4.8"/>
    <n v="3"/>
    <s v="ручное"/>
    <n v="197"/>
    <n v="94.2"/>
    <n v="104"/>
    <n v="2"/>
    <n v="-18"/>
  </r>
  <r>
    <n v="132777674"/>
    <x v="0"/>
    <s v="AVANGARD SD/SC-1800RS 647 л белый, серый"/>
    <x v="2"/>
    <n v="647"/>
    <x v="1"/>
    <s v=" белый, серый"/>
    <x v="2"/>
    <n v="429990"/>
    <n v="3"/>
    <n v="3.4090909090909088E-2"/>
    <n v="1409778"/>
    <n v="5.3668673493204117E-2"/>
    <s v="A"/>
    <n v="1"/>
    <n v="5"/>
    <n v="2"/>
    <s v="Defrost"/>
    <n v="182"/>
    <n v="82.2"/>
    <n v="82.2"/>
    <n v="6"/>
    <n v="-25"/>
  </r>
  <r>
    <n v="156863482"/>
    <x v="1"/>
    <s v="Platinium PLM-1100S 1100 л серый"/>
    <x v="19"/>
    <n v="1100"/>
    <x v="14"/>
    <s v=" серый"/>
    <x v="2"/>
    <n v="479990"/>
    <n v="3"/>
    <n v="0.42857142857142855"/>
    <n v="1350411"/>
    <n v="0.26691071351981488"/>
    <s v="B"/>
    <n v="2"/>
    <n v="0"/>
    <n v="0"/>
    <s v="Defrost"/>
    <n v="236"/>
    <n v="85"/>
    <n v="90"/>
    <n v="0"/>
    <n v="-20"/>
  </r>
  <r>
    <n v="145169183"/>
    <x v="1"/>
    <s v="SABA HD-700 700 л белый"/>
    <x v="29"/>
    <n v="700"/>
    <x v="3"/>
    <s v=" белый"/>
    <x v="2"/>
    <n v="309900"/>
    <n v="4"/>
    <n v="3.1496062992125984E-2"/>
    <n v="1308105"/>
    <n v="2.5938940035967362E-2"/>
    <s v="A"/>
    <n v="5"/>
    <n v="5"/>
    <n v="2"/>
    <s v="ручное"/>
    <n v="203"/>
    <n v="91"/>
    <n v="76"/>
    <n v="3"/>
    <n v="-18"/>
  </r>
  <r>
    <n v="131172629"/>
    <x v="0"/>
    <s v="XINGX SD/SC-1000BY 1000 л серый, мультиколор"/>
    <x v="26"/>
    <n v="1000"/>
    <x v="0"/>
    <s v=" серый, мультиколор"/>
    <x v="2"/>
    <n v="645000"/>
    <n v="2"/>
    <n v="0.18181818181818182"/>
    <n v="1292144"/>
    <n v="0.23685014152601744"/>
    <s v="B"/>
    <n v="1"/>
    <n v="5"/>
    <n v="1"/>
    <s v="Defrost"/>
    <n v="250"/>
    <n v="85"/>
    <n v="85"/>
    <n v="8"/>
    <n v="-18"/>
  </r>
  <r>
    <n v="140611569"/>
    <x v="1"/>
    <s v="OUCBOLL BD/BC-1380H 1380 л белый"/>
    <x v="8"/>
    <n v="138"/>
    <x v="11"/>
    <s v=" белый"/>
    <x v="2"/>
    <n v="599988"/>
    <n v="2"/>
    <n v="2.7027027027027029E-2"/>
    <n v="1199980"/>
    <n v="4.2919208643872393E-2"/>
    <s v="B"/>
    <n v="2"/>
    <n v="5"/>
    <n v="2"/>
    <s v="ручное"/>
    <n v="260"/>
    <n v="93"/>
    <n v="89"/>
    <n v="0"/>
    <n v="-18"/>
  </r>
  <r>
    <n v="142526631"/>
    <x v="0"/>
    <s v="LUX 700 700 л серый"/>
    <x v="24"/>
    <n v="700"/>
    <x v="3"/>
    <s v=" серый"/>
    <x v="2"/>
    <n v="374999"/>
    <n v="3"/>
    <n v="2.3622047244094488E-2"/>
    <n v="1175509"/>
    <n v="2.3309640634918419E-2"/>
    <s v="A"/>
    <n v="1"/>
    <n v="5"/>
    <n v="2"/>
    <s v="Defrost"/>
    <n v="200"/>
    <n v="80"/>
    <n v="76"/>
    <n v="7"/>
    <n v="-24"/>
  </r>
  <r>
    <n v="118087013"/>
    <x v="0"/>
    <s v="Бирюса CF50 500 л белый"/>
    <x v="1"/>
    <n v="500"/>
    <x v="2"/>
    <s v=" белый"/>
    <x v="2"/>
    <n v="323451"/>
    <n v="4"/>
    <n v="2.3668639053254437E-2"/>
    <n v="1174749"/>
    <n v="2.409267740516342E-2"/>
    <s v="B"/>
    <n v="1"/>
    <n v="5"/>
    <n v="11"/>
    <s v="ручное"/>
    <n v="155.5"/>
    <n v="88.5"/>
    <n v="66.5"/>
    <n v="6"/>
    <n v="-25"/>
  </r>
  <r>
    <n v="140308862"/>
    <x v="0"/>
    <s v="Platinium PLSD-450 420 л белый"/>
    <x v="19"/>
    <n v="420"/>
    <x v="12"/>
    <s v=" белый"/>
    <x v="2"/>
    <n v="236980"/>
    <n v="5"/>
    <n v="0.25"/>
    <n v="1161223"/>
    <n v="0.23983960063325324"/>
    <s v="B"/>
    <n v="5"/>
    <n v="5"/>
    <n v="8"/>
    <s v="Defrost"/>
    <n v="131"/>
    <n v="83"/>
    <n v="69"/>
    <n v="6"/>
    <n v="-18"/>
  </r>
  <r>
    <n v="149362714"/>
    <x v="0"/>
    <s v="FROX JK-S01D 613 л серый"/>
    <x v="17"/>
    <n v="613"/>
    <x v="1"/>
    <s v=" серый"/>
    <x v="2"/>
    <n v="405000"/>
    <n v="3"/>
    <n v="3.4090909090909088E-2"/>
    <n v="1156153"/>
    <n v="4.401345308636425E-2"/>
    <s v="B"/>
    <n v="1"/>
    <n v="5"/>
    <n v="2"/>
    <s v="Defrost"/>
    <n v="180"/>
    <n v="86"/>
    <n v="76"/>
    <n v="7"/>
    <n v="-22"/>
  </r>
  <r>
    <n v="114694121"/>
    <x v="2"/>
    <s v="Ариада Rapsodiya R1400LS 1400 л черный, белый"/>
    <x v="10"/>
    <n v="1400"/>
    <x v="9"/>
    <s v=" черный, белый"/>
    <x v="2"/>
    <n v="1120000"/>
    <n v="1"/>
    <n v="1"/>
    <n v="1120000"/>
    <n v="1"/>
    <s v="A"/>
    <n v="1"/>
    <n v="4.33"/>
    <n v="5"/>
    <s v="ручное"/>
    <n v="160"/>
    <n v="198"/>
    <n v="72.5"/>
    <n v="0"/>
    <n v="-18"/>
  </r>
  <r>
    <n v="153608532"/>
    <x v="1"/>
    <s v="Platinium PLM-720S 720 л серый"/>
    <x v="19"/>
    <n v="720"/>
    <x v="3"/>
    <s v=" серый"/>
    <x v="2"/>
    <n v="278000"/>
    <n v="4"/>
    <n v="3.1496062992125984E-2"/>
    <n v="1116927"/>
    <n v="2.2147994601009031E-2"/>
    <s v="A"/>
    <n v="2"/>
    <n v="5"/>
    <n v="1"/>
    <s v="Defrost"/>
    <n v="180"/>
    <n v="80.599999999999994"/>
    <n v="71"/>
    <n v="0"/>
    <n v="-18"/>
  </r>
  <r>
    <n v="121978807"/>
    <x v="0"/>
    <s v="AVANGARD CQS21L 900 л серый"/>
    <x v="2"/>
    <n v="900"/>
    <x v="10"/>
    <s v=" серый"/>
    <x v="2"/>
    <n v="519085"/>
    <n v="2"/>
    <n v="0.5"/>
    <n v="1116683"/>
    <n v="0.50512414563646968"/>
    <s v="A"/>
    <n v="5"/>
    <n v="4.8"/>
    <n v="13"/>
    <s v="ручное"/>
    <n v="214.5"/>
    <n v="86"/>
    <n v="89"/>
    <n v="6"/>
    <n v="-18"/>
  </r>
  <r>
    <n v="153722102"/>
    <x v="1"/>
    <s v="Rebus RIF-700S 700 л серый"/>
    <x v="22"/>
    <n v="700"/>
    <x v="3"/>
    <s v=" серый"/>
    <x v="2"/>
    <n v="296990"/>
    <n v="4"/>
    <n v="3.1496062992125984E-2"/>
    <n v="1114912"/>
    <n v="2.2108038355774531E-2"/>
    <s v="B"/>
    <n v="4"/>
    <n v="5"/>
    <n v="1"/>
    <s v="Defrost"/>
    <n v="193"/>
    <n v="82.5"/>
    <n v="71"/>
    <n v="0"/>
    <n v="0"/>
  </r>
  <r>
    <n v="124524012"/>
    <x v="3"/>
    <s v="Friggier SDD-H6 120 л серебристый"/>
    <x v="9"/>
    <n v="120"/>
    <x v="11"/>
    <s v=" серебристый"/>
    <x v="2"/>
    <n v="1999990"/>
    <n v="1"/>
    <n v="1.3513513513513514E-2"/>
    <n v="1094900"/>
    <n v="3.9160853967712697E-2"/>
    <s v="B"/>
    <n v="1"/>
    <n v="5"/>
    <n v="1"/>
    <s v="ручное"/>
    <n v="80"/>
    <n v="120"/>
    <n v="82"/>
    <n v="0"/>
    <n v="-40"/>
  </r>
  <r>
    <n v="157686240"/>
    <x v="1"/>
    <s v="МОРОЗ BC/BD 850 850 л белый, черный"/>
    <x v="33"/>
    <n v="850"/>
    <x v="8"/>
    <s v=" белый, черный"/>
    <x v="2"/>
    <n v="383965"/>
    <n v="3"/>
    <n v="0.10714285714285714"/>
    <n v="1089759"/>
    <n v="8.1017962308948616E-2"/>
    <s v="B"/>
    <n v="2"/>
    <n v="5"/>
    <n v="0"/>
    <s v="ручное"/>
    <n v="200"/>
    <n v="87"/>
    <n v="85.5"/>
    <n v="3"/>
    <n v="-18"/>
  </r>
  <r>
    <n v="114109997"/>
    <x v="1"/>
    <s v="FROSTOR F 800 SD 800 л белый, серый"/>
    <x v="18"/>
    <n v="800"/>
    <x v="8"/>
    <s v=" белый, серый"/>
    <x v="2"/>
    <n v="539500"/>
    <n v="2"/>
    <n v="7.1428571428571425E-2"/>
    <n v="1079000"/>
    <n v="8.0218086137719954E-2"/>
    <s v="B"/>
    <n v="2"/>
    <n v="4.43"/>
    <n v="4"/>
    <s v="ручное"/>
    <n v="200"/>
    <n v="84"/>
    <n v="60"/>
    <n v="8"/>
    <n v="-22"/>
  </r>
  <r>
    <n v="117232074"/>
    <x v="0"/>
    <s v="Бирюса CF41 410 л белый"/>
    <x v="1"/>
    <n v="410"/>
    <x v="12"/>
    <s v=" белый"/>
    <x v="2"/>
    <n v="263132"/>
    <n v="4"/>
    <n v="0.2"/>
    <n v="1032915"/>
    <n v="0.21333879977239234"/>
    <s v="A"/>
    <n v="5"/>
    <n v="5"/>
    <n v="54"/>
    <s v="ручное"/>
    <n v="132"/>
    <n v="88.5"/>
    <n v="66.5"/>
    <n v="5"/>
    <n v="-25"/>
  </r>
  <r>
    <n v="122939001"/>
    <x v="0"/>
    <s v="Бирюса CF59 590 л белый"/>
    <x v="1"/>
    <n v="590"/>
    <x v="2"/>
    <s v=" белый"/>
    <x v="2"/>
    <n v="385998"/>
    <n v="3"/>
    <n v="1.7751479289940829E-2"/>
    <n v="1008360"/>
    <n v="2.0680240790390617E-2"/>
    <s v="B"/>
    <n v="2"/>
    <n v="5"/>
    <n v="10"/>
    <s v="ручное"/>
    <n v="179"/>
    <n v="88.5"/>
    <n v="66.5"/>
    <n v="5"/>
    <n v="-25"/>
  </r>
  <r>
    <n v="121623694"/>
    <x v="0"/>
    <s v="Bonvini BFL 2500 1300 л белый, серый"/>
    <x v="16"/>
    <n v="1300"/>
    <x v="13"/>
    <s v=" белый, серый"/>
    <x v="2"/>
    <n v="927839"/>
    <n v="1"/>
    <n v="0.25"/>
    <n v="1001435"/>
    <n v="0.35145037524983025"/>
    <s v="B"/>
    <n v="2"/>
    <n v="0"/>
    <n v="0"/>
    <s v="ручное"/>
    <n v="250"/>
    <n v="85"/>
    <n v="96"/>
    <n v="0"/>
    <n v="-25"/>
  </r>
  <r>
    <n v="139085554"/>
    <x v="0"/>
    <s v="Friggier SD/SC 326SY 326 л черный"/>
    <x v="9"/>
    <n v="326"/>
    <x v="5"/>
    <s v=" черный"/>
    <x v="2"/>
    <n v="199000"/>
    <n v="5"/>
    <n v="3.6231884057971016E-2"/>
    <n v="993997"/>
    <n v="3.5350333172561144E-2"/>
    <s v="A"/>
    <n v="5"/>
    <n v="5"/>
    <n v="2"/>
    <s v="ручное"/>
    <n v="125"/>
    <n v="91"/>
    <n v="62"/>
    <n v="3"/>
    <n v="-18"/>
  </r>
  <r>
    <n v="113146979"/>
    <x v="1"/>
    <s v="Hisense FC-66DD4SAS1 500 л белый"/>
    <x v="36"/>
    <n v="500"/>
    <x v="2"/>
    <s v=" белый"/>
    <x v="2"/>
    <n v="329990"/>
    <n v="3"/>
    <n v="1.7751479289940829E-2"/>
    <n v="989970"/>
    <n v="2.0303084191422703E-2"/>
    <s v="B"/>
    <n v="1"/>
    <n v="5"/>
    <n v="14"/>
    <s v="ручное"/>
    <n v="170.2"/>
    <n v="84.2"/>
    <n v="70.900000000000006"/>
    <n v="0"/>
    <n v="0"/>
  </r>
  <r>
    <n v="137444909"/>
    <x v="0"/>
    <s v="TIGER SD-500NL 500 л черный"/>
    <x v="0"/>
    <n v="500"/>
    <x v="2"/>
    <s v=" черный"/>
    <x v="2"/>
    <n v="298900"/>
    <n v="3"/>
    <n v="1.7751479289940829E-2"/>
    <n v="970980"/>
    <n v="1.9913622320057799E-2"/>
    <s v="A"/>
    <n v="1"/>
    <n v="5"/>
    <n v="0"/>
    <s v="Defrost"/>
    <n v="150"/>
    <n v="85"/>
    <n v="76"/>
    <n v="5"/>
    <n v="-24"/>
  </r>
  <r>
    <n v="154652840"/>
    <x v="1"/>
    <s v="ORION BD-560 560 л серебристый"/>
    <x v="4"/>
    <n v="560"/>
    <x v="2"/>
    <s v=" серебристый"/>
    <x v="2"/>
    <n v="258990"/>
    <n v="4"/>
    <n v="2.3668639053254437E-2"/>
    <n v="942960"/>
    <n v="1.9338966099118109E-2"/>
    <s v="B"/>
    <n v="1"/>
    <n v="4"/>
    <n v="1"/>
    <s v="ручное"/>
    <n v="160"/>
    <n v="84"/>
    <n v="67.400000000000006"/>
    <n v="2"/>
    <n v="-24"/>
  </r>
  <r>
    <n v="153721974"/>
    <x v="1"/>
    <s v="Rebus RIF-600W 600 л белый"/>
    <x v="22"/>
    <n v="600"/>
    <x v="1"/>
    <s v=" белый"/>
    <x v="2"/>
    <n v="230990"/>
    <n v="4"/>
    <n v="4.5454545454545456E-2"/>
    <n v="929128"/>
    <n v="3.5370864962706007E-2"/>
    <s v="B"/>
    <n v="4"/>
    <n v="5"/>
    <n v="1"/>
    <s v="Defrost"/>
    <n v="168.5"/>
    <n v="82.5"/>
    <n v="71"/>
    <n v="0"/>
    <n v="-18"/>
  </r>
  <r>
    <n v="159645113"/>
    <x v="2"/>
    <s v="Foodatlas FA1200-MOR 1200 л серый"/>
    <x v="37"/>
    <n v="1200"/>
    <x v="6"/>
    <s v=" серый"/>
    <x v="2"/>
    <n v="899990"/>
    <n v="1"/>
    <n v="0.125"/>
    <n v="899999"/>
    <n v="0.18295254429336838"/>
    <s v="B"/>
    <n v="1"/>
    <n v="0"/>
    <n v="0"/>
    <s v="ручное"/>
    <n v="120"/>
    <n v="196"/>
    <n v="76"/>
    <n v="0"/>
    <n v="-15"/>
  </r>
  <r>
    <n v="147291509"/>
    <x v="1"/>
    <s v="Blesk BL-718BD 708 л белый"/>
    <x v="38"/>
    <n v="708"/>
    <x v="3"/>
    <s v=" белый"/>
    <x v="2"/>
    <n v="425000"/>
    <n v="2"/>
    <n v="1.5748031496062992E-2"/>
    <n v="878990"/>
    <n v="1.7429846153187208E-2"/>
    <s v="B"/>
    <n v="7"/>
    <n v="5"/>
    <n v="2"/>
    <s v="ручное"/>
    <n v="211"/>
    <n v="80"/>
    <n v="79"/>
    <n v="2"/>
    <n v="0"/>
  </r>
  <r>
    <n v="122652103"/>
    <x v="1"/>
    <s v="Leadbros J BC/BD 1700 1700 л белый"/>
    <x v="13"/>
    <n v="1700"/>
    <x v="16"/>
    <s v=" белый"/>
    <x v="2"/>
    <n v="850400"/>
    <n v="1"/>
    <n v="1"/>
    <n v="850400"/>
    <n v="1"/>
    <s v="A"/>
    <n v="2"/>
    <n v="5"/>
    <n v="0"/>
    <s v="ручное"/>
    <n v="265"/>
    <n v="90"/>
    <n v="110"/>
    <n v="2"/>
    <n v="-18"/>
  </r>
  <r>
    <n v="104775274"/>
    <x v="1"/>
    <s v="Xing BC/BD 500 500 л белый"/>
    <x v="30"/>
    <n v="500"/>
    <x v="2"/>
    <s v=" белый"/>
    <x v="2"/>
    <n v="279345"/>
    <n v="3"/>
    <n v="1.7751479289940829E-2"/>
    <n v="838185"/>
    <n v="1.719015790679277E-2"/>
    <s v="B"/>
    <n v="3"/>
    <n v="5"/>
    <n v="8"/>
    <s v="ручное"/>
    <n v="153"/>
    <n v="80"/>
    <n v="75"/>
    <n v="0"/>
    <n v="-24"/>
  </r>
  <r>
    <n v="119264283"/>
    <x v="0"/>
    <s v="Muxxed SD/SC-105Y 105 л белый"/>
    <x v="3"/>
    <n v="105"/>
    <x v="11"/>
    <s v=" белый"/>
    <x v="2"/>
    <n v="86700"/>
    <n v="9"/>
    <n v="0.12162162162162163"/>
    <n v="805046"/>
    <n v="2.8793760930944597E-2"/>
    <s v="B"/>
    <n v="1"/>
    <n v="4.9000000000000004"/>
    <n v="13"/>
    <s v="ручное"/>
    <n v="60"/>
    <n v="80"/>
    <n v="55"/>
    <n v="1"/>
    <n v="-18"/>
  </r>
  <r>
    <n v="140652811"/>
    <x v="1"/>
    <s v="Friggier BC/BD 800 800 л белый"/>
    <x v="9"/>
    <n v="800"/>
    <x v="8"/>
    <s v=" белый"/>
    <x v="2"/>
    <n v="333000"/>
    <n v="2"/>
    <n v="7.1428571428571425E-2"/>
    <n v="776328"/>
    <n v="5.7715983665545742E-2"/>
    <s v="A"/>
    <n v="1"/>
    <n v="5"/>
    <n v="7"/>
    <s v="ручное"/>
    <n v="194.5"/>
    <n v="88"/>
    <n v="80"/>
    <n v="2"/>
    <n v="-18"/>
  </r>
  <r>
    <n v="142749485"/>
    <x v="1"/>
    <s v="BAQ W-3000 1600 л белый"/>
    <x v="39"/>
    <n v="1600"/>
    <x v="7"/>
    <s v=" белый"/>
    <x v="2"/>
    <n v="690000"/>
    <n v="1"/>
    <n v="1"/>
    <n v="701451"/>
    <n v="1"/>
    <s v="A"/>
    <n v="1"/>
    <n v="5"/>
    <n v="1"/>
    <s v="Defrost"/>
    <n v="307"/>
    <n v="88"/>
    <n v="101"/>
    <n v="2"/>
    <n v="-18"/>
  </r>
  <r>
    <n v="140689760"/>
    <x v="2"/>
    <s v="Friggier LD-998 915 л серебристый"/>
    <x v="9"/>
    <n v="915"/>
    <x v="10"/>
    <s v=" серебристый"/>
    <x v="2"/>
    <n v="814200"/>
    <n v="1"/>
    <n v="0.25"/>
    <n v="700659"/>
    <n v="0.31693844963835149"/>
    <s v="C"/>
    <n v="2"/>
    <n v="0"/>
    <n v="0"/>
    <s v="ручное"/>
    <n v="122"/>
    <n v="165"/>
    <n v="75"/>
    <n v="0"/>
    <n v="-32"/>
  </r>
  <r>
    <n v="143487775"/>
    <x v="1"/>
    <s v="Friggier BC/BD 1250 1250 л белый"/>
    <x v="9"/>
    <n v="1250"/>
    <x v="6"/>
    <s v=" белый"/>
    <x v="2"/>
    <n v="672200"/>
    <n v="1"/>
    <n v="0.125"/>
    <n v="672200"/>
    <n v="0.13664537435486288"/>
    <s v="B"/>
    <n v="3"/>
    <n v="5"/>
    <n v="0"/>
    <s v="ручное"/>
    <n v="250"/>
    <n v="80"/>
    <n v="90"/>
    <n v="3"/>
    <n v="-18"/>
  </r>
  <r>
    <n v="146357834"/>
    <x v="0"/>
    <s v="Friggier SD/SC-2.0 RY 628 л белый"/>
    <x v="9"/>
    <n v="628"/>
    <x v="1"/>
    <s v=" белый"/>
    <x v="2"/>
    <n v="589900"/>
    <n v="1"/>
    <n v="1.1363636363636364E-2"/>
    <n v="667047"/>
    <n v="2.53937340826863E-2"/>
    <s v="C"/>
    <n v="3"/>
    <n v="0"/>
    <n v="0"/>
    <s v="Defrost"/>
    <n v="200"/>
    <n v="80"/>
    <n v="95"/>
    <n v="6"/>
    <n v="-18"/>
  </r>
  <r>
    <n v="141167073"/>
    <x v="1"/>
    <s v="Hansa FS5021.3W 502 л белый"/>
    <x v="23"/>
    <n v="502"/>
    <x v="2"/>
    <s v=" белый"/>
    <x v="2"/>
    <n v="309958"/>
    <n v="2"/>
    <n v="1.1834319526627219E-2"/>
    <n v="663690"/>
    <n v="1.3611477061936559E-2"/>
    <s v="B"/>
    <n v="6"/>
    <n v="4.8"/>
    <n v="11"/>
    <s v="ручное"/>
    <n v="155"/>
    <n v="89"/>
    <n v="77"/>
    <n v="4"/>
    <n v="0"/>
  </r>
  <r>
    <n v="159837212"/>
    <x v="2"/>
    <s v="Foodsense VFF-1200 1200 л стальной"/>
    <x v="21"/>
    <n v="1200"/>
    <x v="6"/>
    <s v=" стальной"/>
    <x v="2"/>
    <n v="660000"/>
    <n v="1"/>
    <n v="0.125"/>
    <n v="660000"/>
    <n v="0.13416534822107928"/>
    <s v="C"/>
    <n v="1"/>
    <n v="0"/>
    <n v="0"/>
    <s v="Defrost"/>
    <n v="120"/>
    <n v="196"/>
    <n v="76"/>
    <n v="0"/>
    <n v="-16"/>
  </r>
  <r>
    <n v="141656191"/>
    <x v="0"/>
    <s v="Морозильник TIGER SD-768E 768 л белый"/>
    <x v="0"/>
    <n v="768"/>
    <x v="3"/>
    <s v=" белый"/>
    <x v="2"/>
    <n v="699000"/>
    <n v="2"/>
    <n v="1.5748031496062992E-2"/>
    <n v="656444"/>
    <n v="1.3016892033109391E-2"/>
    <s v="C"/>
    <n v="1"/>
    <n v="0"/>
    <n v="0"/>
    <s v="Defrost"/>
    <n v="200"/>
    <n v="88"/>
    <n v="83"/>
    <n v="6"/>
    <n v="-22"/>
  </r>
  <r>
    <n v="120864386"/>
    <x v="1"/>
    <s v="RKS Cold Freezer BD-1298-18 1100 л белый"/>
    <x v="34"/>
    <n v="1100"/>
    <x v="14"/>
    <s v=" белый"/>
    <x v="2"/>
    <n v="610000"/>
    <n v="1"/>
    <n v="0.14285714285714285"/>
    <n v="609000"/>
    <n v="0.12036974264395599"/>
    <s v="C"/>
    <n v="1"/>
    <n v="0"/>
    <n v="0"/>
    <s v="ручное"/>
    <n v="252"/>
    <n v="87"/>
    <n v="91"/>
    <n v="0"/>
    <n v="-18"/>
  </r>
  <r>
    <n v="134892236"/>
    <x v="2"/>
    <s v="Polair CВ105-S 500 л белый"/>
    <x v="11"/>
    <n v="500"/>
    <x v="2"/>
    <s v=" белый"/>
    <x v="2"/>
    <n v="690600"/>
    <n v="1"/>
    <n v="5.9171597633136093E-3"/>
    <n v="576500"/>
    <n v="1.1823315894779831E-2"/>
    <s v="C"/>
    <n v="2"/>
    <n v="0"/>
    <n v="0"/>
    <s v="No Frost"/>
    <n v="69.5"/>
    <n v="202.8"/>
    <n v="69.5"/>
    <n v="0"/>
    <n v="-18"/>
  </r>
  <r>
    <n v="117946838"/>
    <x v="0"/>
    <s v="Leadbros CO-20SN 800 л серый"/>
    <x v="13"/>
    <n v="800"/>
    <x v="8"/>
    <s v=" серый"/>
    <x v="2"/>
    <n v="574600"/>
    <n v="1"/>
    <n v="3.5714285714285712E-2"/>
    <n v="574600"/>
    <n v="4.2718547075749666E-2"/>
    <s v="B"/>
    <n v="2"/>
    <n v="5"/>
    <n v="1"/>
    <s v="ручное"/>
    <n v="200"/>
    <n v="85"/>
    <n v="86"/>
    <n v="4"/>
    <n v="0"/>
  </r>
  <r>
    <n v="128436967"/>
    <x v="0"/>
    <s v="RKS Cold 250 BD-980-27 1100 л серый"/>
    <x v="34"/>
    <n v="1100"/>
    <x v="14"/>
    <s v=" серый"/>
    <x v="2"/>
    <n v="520000"/>
    <n v="1"/>
    <n v="0.14285714285714285"/>
    <n v="550000"/>
    <n v="0.10870830616449227"/>
    <s v="C"/>
    <n v="1"/>
    <n v="5"/>
    <n v="1"/>
    <s v="ручное"/>
    <n v="250"/>
    <n v="86"/>
    <n v="77"/>
    <n v="9"/>
    <n v="-18"/>
  </r>
  <r>
    <n v="148807910"/>
    <x v="0"/>
    <s v="Aucma SD-280 280 л белый"/>
    <x v="14"/>
    <n v="280"/>
    <x v="4"/>
    <s v=" белый"/>
    <x v="2"/>
    <n v="185990"/>
    <n v="3"/>
    <n v="4.0540540540540543E-2"/>
    <n v="547959"/>
    <n v="4.3467255284839711E-2"/>
    <s v="B"/>
    <n v="2"/>
    <n v="5"/>
    <n v="1"/>
    <s v="Defrost"/>
    <n v="106.5"/>
    <n v="89.6"/>
    <n v="73.599999999999994"/>
    <n v="3"/>
    <n v="0"/>
  </r>
  <r>
    <n v="159848766"/>
    <x v="0"/>
    <s v="AVANGARD SD/SC-2000K 748 л серый"/>
    <x v="2"/>
    <n v="748"/>
    <x v="3"/>
    <s v=" серый"/>
    <x v="2"/>
    <n v="600400"/>
    <n v="1"/>
    <n v="7.874015748031496E-3"/>
    <n v="540000"/>
    <n v="1.0707877134803687E-2"/>
    <s v="C"/>
    <n v="1"/>
    <n v="5"/>
    <n v="1"/>
    <s v="Defrost"/>
    <n v="103"/>
    <n v="87"/>
    <n v="45"/>
    <n v="6"/>
    <n v="-22"/>
  </r>
  <r>
    <n v="114880693"/>
    <x v="0"/>
    <s v="Haier GTS1850G 810 л серый"/>
    <x v="7"/>
    <n v="810"/>
    <x v="8"/>
    <s v=" серый"/>
    <x v="2"/>
    <n v="870000"/>
    <n v="1"/>
    <n v="3.5714285714285712E-2"/>
    <n v="531042"/>
    <n v="3.9480234382527415E-2"/>
    <s v="C"/>
    <n v="1"/>
    <n v="0"/>
    <n v="0"/>
    <s v="No Frost"/>
    <n v="185.5"/>
    <n v="81"/>
    <n v="86.5"/>
    <n v="0"/>
    <n v="-24"/>
  </r>
  <r>
    <n v="140731818"/>
    <x v="0"/>
    <s v="OUCBOLL SD/SC-760B 780 л серый"/>
    <x v="8"/>
    <n v="780"/>
    <x v="3"/>
    <s v=" серый"/>
    <x v="2"/>
    <n v="589990"/>
    <n v="1"/>
    <n v="7.874015748031496E-3"/>
    <n v="529990"/>
    <n v="1.0509384819767788E-2"/>
    <s v="C"/>
    <n v="1"/>
    <n v="4.3"/>
    <n v="2"/>
    <s v="ручное"/>
    <n v="210"/>
    <n v="85"/>
    <n v="83"/>
    <n v="0"/>
    <n v="-18"/>
  </r>
  <r>
    <n v="117689613"/>
    <x v="0"/>
    <s v="Бирюса CF32 320 л белый"/>
    <x v="1"/>
    <n v="320"/>
    <x v="5"/>
    <s v=" белый"/>
    <x v="2"/>
    <n v="236266"/>
    <n v="2"/>
    <n v="1.4492753623188406E-2"/>
    <n v="508553"/>
    <n v="1.8086088776832817E-2"/>
    <s v="B"/>
    <n v="7"/>
    <n v="4.8"/>
    <n v="15"/>
    <s v="ручное"/>
    <n v="108.5"/>
    <n v="88.5"/>
    <n v="66.5"/>
    <n v="4"/>
    <n v="-25"/>
  </r>
  <r>
    <n v="155690165"/>
    <x v="0"/>
    <s v="LUX SD-800 880 л серый, молочный"/>
    <x v="24"/>
    <n v="880"/>
    <x v="8"/>
    <s v=" серый, молочный"/>
    <x v="2"/>
    <n v="486780"/>
    <n v="1"/>
    <n v="3.5714285714285712E-2"/>
    <n v="494805"/>
    <n v="3.6786200288576945E-2"/>
    <s v="C"/>
    <n v="1"/>
    <n v="5"/>
    <n v="0"/>
    <s v="Defrost"/>
    <n v="210"/>
    <n v="87"/>
    <n v="81"/>
    <n v="0"/>
    <n v="-26"/>
  </r>
  <r>
    <n v="121205888"/>
    <x v="2"/>
    <s v="AOLIEGE HZRL4 800 л серебристый"/>
    <x v="25"/>
    <n v="800"/>
    <x v="8"/>
    <s v=" серебристый"/>
    <x v="2"/>
    <n v="391900"/>
    <n v="1"/>
    <n v="3.5714285714285712E-2"/>
    <n v="460332"/>
    <n v="3.4223310498562469E-2"/>
    <s v="B"/>
    <n v="1"/>
    <n v="5"/>
    <n v="2"/>
    <s v="Defrost"/>
    <n v="60"/>
    <n v="196"/>
    <n v="76"/>
    <n v="0"/>
    <n v="-14"/>
  </r>
  <r>
    <n v="156863274"/>
    <x v="1"/>
    <s v="Platinium PLM-500W 500 л белый"/>
    <x v="19"/>
    <n v="500"/>
    <x v="2"/>
    <s v=" белый"/>
    <x v="2"/>
    <n v="231990"/>
    <n v="2"/>
    <n v="1.1834319526627219E-2"/>
    <n v="459980"/>
    <n v="9.4336319952833068E-3"/>
    <s v="C"/>
    <n v="3"/>
    <n v="0"/>
    <n v="0"/>
    <s v="Defrost"/>
    <n v="140"/>
    <n v="71"/>
    <n v="89"/>
    <n v="0"/>
    <n v="-18"/>
  </r>
  <r>
    <n v="113072746"/>
    <x v="0"/>
    <s v="FROSTOR F 700 C 700 л белый, серый"/>
    <x v="18"/>
    <n v="700"/>
    <x v="3"/>
    <s v=" белый, серый"/>
    <x v="2"/>
    <n v="459500"/>
    <n v="1"/>
    <n v="7.874015748031496E-3"/>
    <n v="459500"/>
    <n v="9.1116102656338769E-3"/>
    <s v="B"/>
    <n v="2"/>
    <n v="4.9000000000000004"/>
    <n v="45"/>
    <s v="ручное"/>
    <n v="180"/>
    <n v="84"/>
    <n v="60"/>
    <n v="6"/>
    <n v="-22"/>
  </r>
  <r>
    <n v="144491862"/>
    <x v="0"/>
    <s v="MK-100 700 л серый"/>
    <x v="5"/>
    <n v="700"/>
    <x v="3"/>
    <s v=" серый"/>
    <x v="2"/>
    <n v="408600"/>
    <n v="1"/>
    <n v="7.874015748031496E-3"/>
    <n v="454545"/>
    <n v="9.013355578221003E-3"/>
    <s v="C"/>
    <n v="2"/>
    <n v="0"/>
    <n v="0"/>
    <s v="ручное"/>
    <n v="74"/>
    <n v="87"/>
    <n v="45"/>
    <n v="0"/>
    <n v="-18"/>
  </r>
  <r>
    <n v="153336154"/>
    <x v="1"/>
    <s v="Rebus RIF-550W 550 л белый"/>
    <x v="22"/>
    <n v="550"/>
    <x v="2"/>
    <s v=" белый"/>
    <x v="2"/>
    <n v="249990"/>
    <n v="2"/>
    <n v="1.1834319526627219E-2"/>
    <n v="442171"/>
    <n v="9.0683910017531535E-3"/>
    <s v="B"/>
    <n v="1"/>
    <n v="5"/>
    <n v="2"/>
    <s v="Defrost"/>
    <n v="153.5"/>
    <n v="82.5"/>
    <n v="74"/>
    <n v="0"/>
    <n v="-18"/>
  </r>
  <r>
    <n v="155757762"/>
    <x v="0"/>
    <s v="XINGX SD/SC326 326 л белый"/>
    <x v="26"/>
    <n v="326"/>
    <x v="5"/>
    <s v=" белый"/>
    <x v="2"/>
    <n v="219000"/>
    <n v="2"/>
    <n v="1.4492753623188406E-2"/>
    <n v="440774"/>
    <n v="1.567560843121505E-2"/>
    <s v="C"/>
    <n v="1"/>
    <n v="0"/>
    <n v="0"/>
    <s v="Defrost"/>
    <n v="125"/>
    <n v="90"/>
    <n v="60"/>
    <n v="3"/>
    <n v="-18"/>
  </r>
  <r>
    <n v="155437333"/>
    <x v="0"/>
    <s v="FROX SD/SC-800 800 л золотистый"/>
    <x v="17"/>
    <n v="800"/>
    <x v="8"/>
    <s v=" золотистый"/>
    <x v="2"/>
    <n v="420000"/>
    <n v="1"/>
    <n v="3.5714285714285712E-2"/>
    <n v="420000"/>
    <n v="3.1224834270474868E-2"/>
    <s v="B"/>
    <n v="1"/>
    <n v="0"/>
    <n v="0"/>
    <s v="Defrost"/>
    <n v="200"/>
    <n v="85"/>
    <n v="80"/>
    <n v="6"/>
    <n v="-26"/>
  </r>
  <r>
    <n v="100843154"/>
    <x v="1"/>
    <s v="FROSTOR F 600 S 510 л белый"/>
    <x v="18"/>
    <n v="600"/>
    <x v="1"/>
    <s v=" белый"/>
    <x v="2"/>
    <n v="440000"/>
    <n v="1"/>
    <n v="1.1363636363636364E-2"/>
    <n v="417000"/>
    <n v="1.5874724138599208E-2"/>
    <s v="C"/>
    <n v="1"/>
    <n v="4.4000000000000004"/>
    <n v="4"/>
    <s v="No Frost"/>
    <n v="160"/>
    <n v="82"/>
    <n v="60"/>
    <n v="0"/>
    <n v="0"/>
  </r>
  <r>
    <n v="113187256"/>
    <x v="0"/>
    <s v="FROSTOR F 500 C 500 л серый-белый"/>
    <x v="18"/>
    <n v="500"/>
    <x v="2"/>
    <s v=" серый-белый"/>
    <x v="2"/>
    <n v="395000"/>
    <n v="1"/>
    <n v="5.9171597633136093E-3"/>
    <n v="395000"/>
    <n v="8.100970994688695E-3"/>
    <s v="C"/>
    <n v="1"/>
    <n v="4.3"/>
    <n v="4"/>
    <s v="ручное"/>
    <n v="140"/>
    <n v="84"/>
    <n v="60"/>
    <n v="5"/>
    <n v="-22"/>
  </r>
  <r>
    <n v="155336923"/>
    <x v="0"/>
    <s v="LUX SD/SC-BYH2000 900 л черный, серый"/>
    <x v="24"/>
    <n v="900"/>
    <x v="10"/>
    <s v=" черный, серый"/>
    <x v="2"/>
    <n v="450000"/>
    <n v="1"/>
    <n v="0.25"/>
    <n v="393368"/>
    <n v="0.1779374047251788"/>
    <s v="C"/>
    <n v="1"/>
    <n v="0"/>
    <n v="0"/>
    <s v="Defrost"/>
    <n v="200"/>
    <n v="85"/>
    <n v="88"/>
    <n v="7"/>
    <n v="-26"/>
  </r>
  <r>
    <n v="142298659"/>
    <x v="0"/>
    <s v="LUX 700 л серый"/>
    <x v="24"/>
    <n v="700"/>
    <x v="3"/>
    <s v=" серый"/>
    <x v="2"/>
    <n v="385000"/>
    <n v="1"/>
    <n v="7.874015748031496E-3"/>
    <n v="392850"/>
    <n v="7.7899806155696813E-3"/>
    <s v="C"/>
    <n v="2"/>
    <n v="5"/>
    <n v="0"/>
    <s v="Defrost"/>
    <n v="200"/>
    <n v="80"/>
    <n v="76"/>
    <n v="7"/>
    <n v="-24"/>
  </r>
  <r>
    <n v="140330902"/>
    <x v="0"/>
    <s v="Platinium PLSD-350 330 л белый"/>
    <x v="19"/>
    <n v="330"/>
    <x v="5"/>
    <s v=" белый"/>
    <x v="2"/>
    <n v="201980"/>
    <n v="2"/>
    <n v="1.4492753623188406E-2"/>
    <n v="385980"/>
    <n v="1.3726924324666122E-2"/>
    <s v="C"/>
    <n v="4"/>
    <n v="4.8"/>
    <n v="2"/>
    <s v="Defrost"/>
    <n v="122.4"/>
    <n v="82"/>
    <n v="65.400000000000006"/>
    <n v="6"/>
    <n v="0"/>
  </r>
  <r>
    <n v="141408862"/>
    <x v="0"/>
    <s v="Friggier CI-17A 600 л черный"/>
    <x v="9"/>
    <n v="600"/>
    <x v="1"/>
    <s v=" черный"/>
    <x v="2"/>
    <n v="371000"/>
    <n v="1"/>
    <n v="1.1363636363636364E-2"/>
    <n v="370900"/>
    <n v="1.4119748640303229E-2"/>
    <s v="A"/>
    <n v="4"/>
    <n v="5"/>
    <n v="5"/>
    <s v="ручное"/>
    <n v="165"/>
    <n v="86"/>
    <n v="76"/>
    <n v="5"/>
    <n v="-18"/>
  </r>
  <r>
    <n v="129482952"/>
    <x v="0"/>
    <s v="HEIL SD551S 551 л белый"/>
    <x v="40"/>
    <n v="551"/>
    <x v="2"/>
    <s v=" белый"/>
    <x v="2"/>
    <n v="349990"/>
    <n v="1"/>
    <n v="5.9171597633136093E-3"/>
    <n v="350000"/>
    <n v="7.1780755649140339E-3"/>
    <s v="C"/>
    <n v="1"/>
    <n v="5"/>
    <n v="0"/>
    <s v="Defrost"/>
    <n v="153"/>
    <n v="90"/>
    <n v="72"/>
    <n v="6"/>
    <n v="-23"/>
  </r>
  <r>
    <n v="143231818"/>
    <x v="1"/>
    <s v="AVA CFR-501W 508 л белый"/>
    <x v="41"/>
    <n v="508"/>
    <x v="2"/>
    <s v=" белый"/>
    <x v="2"/>
    <n v="349990"/>
    <n v="1"/>
    <n v="5.9171597633136093E-3"/>
    <n v="349990"/>
    <n v="7.1778704770407509E-3"/>
    <s v="C"/>
    <n v="1"/>
    <n v="5"/>
    <n v="25"/>
    <s v="ручное"/>
    <n v="164"/>
    <n v="88"/>
    <n v="70.5"/>
    <n v="1"/>
    <n v="-22"/>
  </r>
  <r>
    <n v="114858756"/>
    <x v="2"/>
    <s v="Haier HUF90RU 90 л белый"/>
    <x v="7"/>
    <n v="90"/>
    <x v="15"/>
    <s v=" белый"/>
    <x v="2"/>
    <n v="339990"/>
    <n v="2"/>
    <n v="1"/>
    <n v="341505"/>
    <n v="1"/>
    <s v="B"/>
    <n v="2"/>
    <n v="5"/>
    <n v="2"/>
    <s v="ручное"/>
    <n v="59.5"/>
    <n v="82"/>
    <n v="54.5"/>
    <n v="0"/>
    <n v="-24"/>
  </r>
  <r>
    <n v="141392200"/>
    <x v="0"/>
    <s v="Haier SD-505FPEL 500 л белый"/>
    <x v="7"/>
    <n v="500"/>
    <x v="2"/>
    <s v=" белый"/>
    <x v="2"/>
    <n v="329990"/>
    <n v="1"/>
    <n v="5.9171597633136093E-3"/>
    <n v="329990"/>
    <n v="6.7676947304742344E-3"/>
    <s v="C"/>
    <n v="2"/>
    <n v="0"/>
    <n v="0"/>
    <s v="ручное"/>
    <n v="155"/>
    <n v="82"/>
    <n v="65"/>
    <n v="6"/>
    <n v="-24"/>
  </r>
  <r>
    <n v="100620951"/>
    <x v="0"/>
    <s v="Almagreen SDSC 550 550 л белый"/>
    <x v="20"/>
    <n v="550"/>
    <x v="2"/>
    <s v=" белый"/>
    <x v="2"/>
    <n v="389900"/>
    <n v="1"/>
    <n v="5.9171597633136093E-3"/>
    <n v="287310"/>
    <n v="5.8923796873012893E-3"/>
    <s v="C"/>
    <n v="2"/>
    <n v="5"/>
    <n v="17"/>
    <s v="ручное"/>
    <n v="163.4"/>
    <n v="90"/>
    <n v="65.3"/>
    <n v="5"/>
    <n v="0"/>
  </r>
  <r>
    <n v="140081934"/>
    <x v="0"/>
    <s v="Platinium PLSD-570 445 л белый"/>
    <x v="19"/>
    <n v="445"/>
    <x v="12"/>
    <s v=" белый"/>
    <x v="2"/>
    <n v="285990"/>
    <n v="1"/>
    <n v="0.05"/>
    <n v="286990"/>
    <n v="5.9275063433756776E-2"/>
    <s v="C"/>
    <n v="4"/>
    <n v="0"/>
    <n v="0"/>
    <s v="ручное"/>
    <n v="153"/>
    <n v="85"/>
    <n v="68"/>
    <n v="5"/>
    <n v="-18"/>
  </r>
  <r>
    <n v="142950129"/>
    <x v="0"/>
    <s v="Friggier J SD-435BY 435 л черный"/>
    <x v="9"/>
    <n v="435"/>
    <x v="12"/>
    <s v=" черный"/>
    <x v="2"/>
    <n v="279900"/>
    <n v="1"/>
    <n v="0.05"/>
    <n v="279900"/>
    <n v="5.7810691156864429E-2"/>
    <s v="C"/>
    <n v="3"/>
    <n v="0"/>
    <n v="0"/>
    <s v="ручное"/>
    <n v="134"/>
    <n v="90"/>
    <n v="72"/>
    <n v="4"/>
    <n v="-18"/>
  </r>
  <r>
    <n v="154651758"/>
    <x v="1"/>
    <s v="ORION BD-660 660 л серебристый"/>
    <x v="4"/>
    <n v="660"/>
    <x v="1"/>
    <s v=" серебристый"/>
    <x v="2"/>
    <n v="263990"/>
    <n v="1"/>
    <n v="1.1363636363636364E-2"/>
    <n v="263990"/>
    <n v="1.0049804377335264E-2"/>
    <s v="B"/>
    <n v="1"/>
    <n v="5"/>
    <n v="1"/>
    <s v="ручное"/>
    <n v="180"/>
    <n v="84"/>
    <n v="67.400000000000006"/>
    <n v="2"/>
    <n v="-24"/>
  </r>
  <r>
    <n v="148807907"/>
    <x v="1"/>
    <s v="Aucma BC/BD(W)-600KFW 600 л белый"/>
    <x v="14"/>
    <n v="600"/>
    <x v="1"/>
    <s v=" белый"/>
    <x v="2"/>
    <n v="257979"/>
    <n v="1"/>
    <n v="1.1363636363636364E-2"/>
    <n v="254989"/>
    <n v="9.7071463630150449E-3"/>
    <s v="C"/>
    <n v="2"/>
    <n v="4.5"/>
    <n v="2"/>
    <s v="Defrost"/>
    <n v="170.3"/>
    <n v="88.5"/>
    <n v="76"/>
    <n v="0"/>
    <n v="-17"/>
  </r>
  <r>
    <n v="135246793"/>
    <x v="0"/>
    <s v="Friggier J SD365BY 365 л серый"/>
    <x v="9"/>
    <n v="365"/>
    <x v="5"/>
    <s v=" серый"/>
    <x v="2"/>
    <n v="217800"/>
    <n v="1"/>
    <n v="7.246376811594203E-3"/>
    <n v="217800"/>
    <n v="7.7458006060217664E-3"/>
    <s v="C"/>
    <n v="4"/>
    <n v="0"/>
    <n v="0"/>
    <s v="ручное"/>
    <n v="128"/>
    <n v="91"/>
    <n v="65"/>
    <n v="3"/>
    <n v="-20"/>
  </r>
  <r>
    <n v="129607134"/>
    <x v="0"/>
    <s v="Friggier SD/SC 246SY 246 л серый"/>
    <x v="9"/>
    <n v="246"/>
    <x v="4"/>
    <s v=" серый"/>
    <x v="2"/>
    <n v="183200"/>
    <n v="1"/>
    <n v="1.3513513513513514E-2"/>
    <n v="211489"/>
    <n v="1.67765222451597E-2"/>
    <s v="C"/>
    <n v="5"/>
    <n v="5"/>
    <n v="1"/>
    <s v="ручное"/>
    <n v="103.3"/>
    <n v="91"/>
    <n v="62"/>
    <n v="3"/>
    <n v="-36"/>
  </r>
  <r>
    <n v="121279939"/>
    <x v="0"/>
    <s v="Muxxed SD/SC-112B 122 л белый"/>
    <x v="3"/>
    <n v="122"/>
    <x v="11"/>
    <s v=" белый"/>
    <x v="2"/>
    <n v="99300"/>
    <n v="2"/>
    <n v="2.7027027027027029E-2"/>
    <n v="190928"/>
    <n v="6.828846037398347E-3"/>
    <s v="C"/>
    <n v="2"/>
    <n v="5"/>
    <n v="1"/>
    <s v="ручное"/>
    <n v="66"/>
    <n v="81"/>
    <n v="48"/>
    <n v="2"/>
    <n v="-18"/>
  </r>
  <r>
    <n v="117729101"/>
    <x v="0"/>
    <s v="Almagreen SC/SD-380 380 л серый"/>
    <x v="20"/>
    <n v="380"/>
    <x v="5"/>
    <s v=" серый"/>
    <x v="2"/>
    <n v="189990"/>
    <n v="1"/>
    <n v="7.246376811594203E-3"/>
    <n v="189989"/>
    <n v="6.756735130107756E-3"/>
    <s v="C"/>
    <n v="1"/>
    <n v="4.8"/>
    <n v="16"/>
    <s v="Defrost"/>
    <n v="122"/>
    <n v="90"/>
    <n v="70"/>
    <n v="4"/>
    <n v="-18"/>
  </r>
  <r>
    <n v="117232021"/>
    <x v="0"/>
    <s v="Бирюса CF23 230 л белый"/>
    <x v="1"/>
    <n v="230"/>
    <x v="4"/>
    <s v=" белый"/>
    <x v="2"/>
    <n v="199650"/>
    <n v="1"/>
    <n v="1.3513513513513514E-2"/>
    <n v="189402"/>
    <n v="1.5024454540320007E-2"/>
    <s v="B"/>
    <n v="10"/>
    <n v="5"/>
    <n v="18"/>
    <s v="ручное"/>
    <n v="88"/>
    <n v="88.5"/>
    <n v="66.5"/>
    <n v="3"/>
    <n v="-25"/>
  </r>
  <r>
    <n v="119264286"/>
    <x v="0"/>
    <s v="Muxxed SD/SC-268 268 л желтый"/>
    <x v="3"/>
    <n v="268"/>
    <x v="4"/>
    <s v=" желтый"/>
    <x v="2"/>
    <n v="263800"/>
    <n v="1"/>
    <n v="1.3513513513513514E-2"/>
    <n v="170000"/>
    <n v="1.3485376457769194E-2"/>
    <s v="A"/>
    <n v="1"/>
    <n v="5"/>
    <n v="47"/>
    <s v="Defrost"/>
    <n v="110"/>
    <n v="85"/>
    <n v="60"/>
    <n v="4"/>
    <n v="-18"/>
  </r>
  <r>
    <n v="119662367"/>
    <x v="0"/>
    <s v="Muxxed D/SC-150B 150 л белый"/>
    <x v="3"/>
    <n v="150"/>
    <x v="11"/>
    <s v=" белый"/>
    <x v="2"/>
    <n v="140000"/>
    <n v="1"/>
    <n v="1.3513513513513514E-2"/>
    <n v="140000"/>
    <n v="5.0073244638595103E-3"/>
    <s v="C"/>
    <n v="1"/>
    <n v="5"/>
    <n v="0"/>
    <s v="ручное"/>
    <n v="75"/>
    <n v="85"/>
    <n v="56"/>
    <n v="3"/>
    <n v="0"/>
  </r>
  <r>
    <n v="119264288"/>
    <x v="0"/>
    <s v="Muxxed SD/SC-155Y 155 л белый"/>
    <x v="3"/>
    <n v="155"/>
    <x v="11"/>
    <s v=" белый"/>
    <x v="2"/>
    <n v="116500"/>
    <n v="1"/>
    <n v="1.3513513513513514E-2"/>
    <n v="116500"/>
    <n v="4.1668092859973782E-3"/>
    <s v="A"/>
    <n v="1"/>
    <n v="5"/>
    <n v="16"/>
    <s v="Defrost"/>
    <n v="50"/>
    <n v="80"/>
    <n v="80"/>
    <n v="3"/>
    <n v="0"/>
  </r>
  <r>
    <n v="123748471"/>
    <x v="0"/>
    <s v="Muxxed SD/SC-112B 112 л серебристый"/>
    <x v="3"/>
    <n v="112"/>
    <x v="11"/>
    <s v=" серебристый"/>
    <x v="2"/>
    <n v="99300"/>
    <n v="1"/>
    <n v="1.3513513513513514E-2"/>
    <n v="92822"/>
    <n v="3.3199276527454821E-3"/>
    <s v="C"/>
    <n v="1"/>
    <n v="0"/>
    <n v="0"/>
    <s v="ручное"/>
    <n v="66"/>
    <n v="82"/>
    <n v="48"/>
    <n v="2"/>
    <n v="-18"/>
  </r>
  <r>
    <n v="137444919"/>
    <x v="0"/>
    <s v="TIGER SD-700NL 700 л черный"/>
    <x v="0"/>
    <n v="700"/>
    <x v="3"/>
    <s v=" черный"/>
    <x v="3"/>
    <n v="376545"/>
    <n v="82"/>
    <n v="0.49696969696969695"/>
    <n v="31404035"/>
    <n v="0.49272175592257039"/>
    <s v="A"/>
    <n v="1"/>
    <n v="5"/>
    <n v="59"/>
    <s v="Defrost"/>
    <n v="200"/>
    <n v="85"/>
    <n v="76"/>
    <n v="7"/>
    <n v="-24"/>
  </r>
  <r>
    <n v="121978898"/>
    <x v="0"/>
    <s v="AVANGARD SD/SC 718 л серый"/>
    <x v="2"/>
    <n v="718"/>
    <x v="3"/>
    <s v=" серый"/>
    <x v="3"/>
    <n v="420000"/>
    <n v="31"/>
    <n v="0.18787878787878787"/>
    <n v="13227429"/>
    <n v="0.20753517957871112"/>
    <s v="A"/>
    <n v="6"/>
    <n v="4.9000000000000004"/>
    <n v="143"/>
    <s v="ручное"/>
    <n v="200"/>
    <n v="86"/>
    <n v="75.7"/>
    <n v="6"/>
    <n v="-18"/>
  </r>
  <r>
    <n v="100018121"/>
    <x v="1"/>
    <s v="Бирюса 680KXQ 600 л белый"/>
    <x v="1"/>
    <n v="600"/>
    <x v="1"/>
    <s v=" белый"/>
    <x v="3"/>
    <n v="291800"/>
    <n v="45"/>
    <n v="0.46391752577319589"/>
    <n v="12737440"/>
    <n v="0.54838732037297655"/>
    <s v="A"/>
    <n v="12"/>
    <n v="4.7"/>
    <n v="154"/>
    <s v="ручное"/>
    <n v="203.5"/>
    <n v="81"/>
    <n v="66.5"/>
    <n v="2"/>
    <n v="-18"/>
  </r>
  <r>
    <n v="148881342"/>
    <x v="0"/>
    <s v="FROX SD-SC-1250BY 1250 л серый"/>
    <x v="17"/>
    <n v="125"/>
    <x v="11"/>
    <s v=" серый"/>
    <x v="3"/>
    <n v="556000"/>
    <n v="20"/>
    <n v="0.25"/>
    <n v="11356456"/>
    <n v="0.37535063351757808"/>
    <s v="A"/>
    <n v="1"/>
    <n v="5"/>
    <n v="12"/>
    <s v="Defrost"/>
    <n v="250"/>
    <n v="84"/>
    <n v="75"/>
    <n v="9"/>
    <n v="-22"/>
  </r>
  <r>
    <n v="137444929"/>
    <x v="0"/>
    <s v="TIGER SD-1000NL 1000 л черный"/>
    <x v="0"/>
    <n v="100"/>
    <x v="11"/>
    <s v=" черный"/>
    <x v="3"/>
    <n v="533584"/>
    <n v="17"/>
    <n v="0.21249999999999999"/>
    <n v="9168836"/>
    <n v="0.30304598558025286"/>
    <s v="A"/>
    <n v="4"/>
    <n v="4.8"/>
    <n v="43"/>
    <s v="Defrost"/>
    <n v="250"/>
    <n v="85"/>
    <n v="76"/>
    <n v="9"/>
    <n v="-18"/>
  </r>
  <r>
    <n v="121978941"/>
    <x v="0"/>
    <s v="AVANGARD SD/SC-268Y 268 л голубой"/>
    <x v="2"/>
    <n v="268"/>
    <x v="4"/>
    <s v=" голубой"/>
    <x v="3"/>
    <n v="179900"/>
    <n v="46"/>
    <n v="0.40350877192982454"/>
    <n v="8496138"/>
    <n v="0.48989114283589086"/>
    <s v="A"/>
    <n v="1"/>
    <n v="4.9000000000000004"/>
    <n v="71"/>
    <s v="ручное"/>
    <n v="109.5"/>
    <n v="85"/>
    <n v="60"/>
    <n v="3"/>
    <n v="-18"/>
  </r>
  <r>
    <n v="121978926"/>
    <x v="0"/>
    <s v="AVANGARD SD/SC 328 л белый"/>
    <x v="2"/>
    <n v="328"/>
    <x v="5"/>
    <s v=" белый"/>
    <x v="3"/>
    <n v="214900"/>
    <n v="38"/>
    <n v="0.32203389830508472"/>
    <n v="8285279"/>
    <n v="0.32768783969030291"/>
    <s v="A"/>
    <n v="3"/>
    <n v="4.9000000000000004"/>
    <n v="151"/>
    <s v="ручное"/>
    <n v="124"/>
    <n v="82.6"/>
    <n v="69.3"/>
    <n v="4"/>
    <n v="-18"/>
  </r>
  <r>
    <n v="137446425"/>
    <x v="0"/>
    <s v="TIGER SD-500NL 500 л черный, серый"/>
    <x v="0"/>
    <n v="500"/>
    <x v="2"/>
    <s v=" черный, серый"/>
    <x v="3"/>
    <n v="322199"/>
    <n v="17"/>
    <n v="0.1223021582733813"/>
    <n v="5637358"/>
    <n v="0.15110001167017334"/>
    <s v="A"/>
    <n v="3"/>
    <n v="4.9000000000000004"/>
    <n v="29"/>
    <s v="Defrost"/>
    <n v="150"/>
    <n v="85"/>
    <n v="76"/>
    <n v="5"/>
    <n v="-24"/>
  </r>
  <r>
    <n v="2800664"/>
    <x v="1"/>
    <s v="Бирюса 560KX 510 л белый"/>
    <x v="1"/>
    <n v="510"/>
    <x v="2"/>
    <s v=" белый"/>
    <x v="3"/>
    <n v="258950"/>
    <n v="21"/>
    <n v="0.15107913669064749"/>
    <n v="5509307"/>
    <n v="0.1476678174411786"/>
    <s v="A"/>
    <n v="18"/>
    <n v="4.8"/>
    <n v="198"/>
    <s v="ручное"/>
    <n v="179"/>
    <n v="81"/>
    <n v="66"/>
    <n v="2"/>
    <n v="-18"/>
  </r>
  <r>
    <n v="121978785"/>
    <x v="0"/>
    <s v="AVANGARD CQS25L 1000 л серый"/>
    <x v="2"/>
    <n v="100"/>
    <x v="11"/>
    <s v=" серый"/>
    <x v="3"/>
    <n v="658000"/>
    <n v="8"/>
    <n v="0.1"/>
    <n v="5443919"/>
    <n v="0.17993099655987571"/>
    <s v="A"/>
    <n v="1"/>
    <n v="4.9000000000000004"/>
    <n v="32"/>
    <s v="ручное"/>
    <n v="254.5"/>
    <n v="86"/>
    <n v="89"/>
    <n v="5"/>
    <n v="0"/>
  </r>
  <r>
    <n v="121978911"/>
    <x v="0"/>
    <s v="AVANGARD SD/SC518 518 л серый"/>
    <x v="2"/>
    <n v="518"/>
    <x v="2"/>
    <s v=" серый"/>
    <x v="3"/>
    <n v="295000"/>
    <n v="16"/>
    <n v="0.11510791366906475"/>
    <n v="4856295"/>
    <n v="0.13016491611386122"/>
    <s v="A"/>
    <n v="7"/>
    <n v="4.9000000000000004"/>
    <n v="60"/>
    <s v="ручное"/>
    <n v="147.5"/>
    <n v="86"/>
    <n v="75.7"/>
    <n v="4"/>
    <n v="-18"/>
  </r>
  <r>
    <n v="135246793"/>
    <x v="0"/>
    <s v="Friggier J SD365BY 365 л серый"/>
    <x v="9"/>
    <n v="365"/>
    <x v="5"/>
    <s v=" серый"/>
    <x v="3"/>
    <n v="217800"/>
    <n v="21"/>
    <n v="0.17796610169491525"/>
    <n v="4526918"/>
    <n v="0.17904236898662634"/>
    <s v="A"/>
    <n v="5"/>
    <n v="5"/>
    <n v="12"/>
    <s v="ручное"/>
    <n v="128"/>
    <n v="91"/>
    <n v="65"/>
    <n v="3"/>
    <n v="-20"/>
  </r>
  <r>
    <n v="157671625"/>
    <x v="0"/>
    <s v="Aucma SD-540 540 л белый"/>
    <x v="14"/>
    <n v="540"/>
    <x v="2"/>
    <s v=" белый"/>
    <x v="3"/>
    <n v="288790"/>
    <n v="35"/>
    <n v="0.25179856115107913"/>
    <n v="4501324"/>
    <n v="0.12065050843519808"/>
    <s v="A"/>
    <n v="8"/>
    <n v="5"/>
    <n v="24"/>
    <s v="ручное"/>
    <n v="150"/>
    <n v="85"/>
    <n v="70"/>
    <n v="7"/>
    <n v="-20"/>
  </r>
  <r>
    <n v="142526631"/>
    <x v="0"/>
    <s v="LUX 700 700 л серый"/>
    <x v="24"/>
    <n v="700"/>
    <x v="3"/>
    <s v=" серый"/>
    <x v="3"/>
    <n v="368000"/>
    <n v="11"/>
    <n v="6.6666666666666666E-2"/>
    <n v="4168973"/>
    <n v="6.5410183658048598E-2"/>
    <s v="A"/>
    <n v="2"/>
    <n v="5"/>
    <n v="5"/>
    <s v="Defrost"/>
    <n v="200"/>
    <n v="80"/>
    <n v="76"/>
    <n v="7"/>
    <n v="-24"/>
  </r>
  <r>
    <n v="148808069"/>
    <x v="0"/>
    <s v="Aucma SD-420 420 л белый"/>
    <x v="14"/>
    <n v="420"/>
    <x v="12"/>
    <s v=" белый"/>
    <x v="3"/>
    <n v="220894"/>
    <n v="16"/>
    <n v="0.5161290322580645"/>
    <n v="3657551"/>
    <n v="0.47756413436946221"/>
    <s v="A"/>
    <n v="10"/>
    <n v="5"/>
    <n v="15"/>
    <s v="Defrost"/>
    <n v="139.30000000000001"/>
    <n v="89"/>
    <n v="77.599999999999994"/>
    <n v="6"/>
    <n v="0"/>
  </r>
  <r>
    <n v="145145986"/>
    <x v="1"/>
    <s v="AVANGARD BD/BC-1380 1380 л белый"/>
    <x v="2"/>
    <n v="1380"/>
    <x v="13"/>
    <s v="белый"/>
    <x v="3"/>
    <n v="600000"/>
    <n v="7"/>
    <n v="1"/>
    <n v="3585521"/>
    <n v="1"/>
    <s v="A"/>
    <n v="2"/>
    <n v="4.9000000000000004"/>
    <n v="5"/>
    <s v="ручное"/>
    <n v="260"/>
    <n v="93.5"/>
    <n v="100"/>
    <n v="1"/>
    <n v="-35"/>
  </r>
  <r>
    <n v="139085554"/>
    <x v="0"/>
    <s v="Friggier SD/SC 326SY 326 л черный"/>
    <x v="9"/>
    <n v="326"/>
    <x v="5"/>
    <s v=" черный"/>
    <x v="3"/>
    <n v="200000"/>
    <n v="17"/>
    <n v="0.1440677966101695"/>
    <n v="3299404"/>
    <n v="0.13049344132231927"/>
    <s v="A"/>
    <n v="5"/>
    <n v="5"/>
    <n v="14"/>
    <s v="ручное"/>
    <n v="125"/>
    <n v="91"/>
    <n v="62"/>
    <n v="3"/>
    <n v="-18"/>
  </r>
  <r>
    <n v="157745132"/>
    <x v="1"/>
    <s v="МОРОЗ BC/BD 3000 2500 л белый"/>
    <x v="33"/>
    <n v="2500"/>
    <x v="18"/>
    <s v="белый"/>
    <x v="3"/>
    <n v="725580"/>
    <n v="4"/>
    <n v="1"/>
    <n v="2907690"/>
    <n v="1"/>
    <s v="A"/>
    <n v="3"/>
    <n v="5"/>
    <n v="1"/>
    <s v="Defrost"/>
    <n v="307"/>
    <n v="88"/>
    <n v="101"/>
    <n v="9"/>
    <n v="-18"/>
  </r>
  <r>
    <n v="145145984"/>
    <x v="1"/>
    <s v="AVANGARD BD/BC-1080 1080 л белый"/>
    <x v="2"/>
    <n v="1080"/>
    <x v="0"/>
    <s v=" белый"/>
    <x v="3"/>
    <n v="460000"/>
    <n v="6"/>
    <n v="0.6"/>
    <n v="2768890"/>
    <n v="0.54091366663195872"/>
    <s v="A"/>
    <n v="2"/>
    <n v="5"/>
    <n v="8"/>
    <s v="ручное"/>
    <n v="260"/>
    <n v="93.5"/>
    <n v="86.4"/>
    <n v="1"/>
    <n v="-35"/>
  </r>
  <r>
    <n v="106635013"/>
    <x v="1"/>
    <s v="МОРОЗ BC/BD 850L 850 л белый-синий"/>
    <x v="33"/>
    <n v="850"/>
    <x v="8"/>
    <s v=" белый-синий"/>
    <x v="3"/>
    <n v="381685"/>
    <n v="6"/>
    <n v="0.54545454545454541"/>
    <n v="2723291"/>
    <n v="0.52056788020763145"/>
    <s v="A"/>
    <n v="6"/>
    <n v="4.8"/>
    <n v="15"/>
    <s v="ручное"/>
    <n v="200.1"/>
    <n v="87"/>
    <n v="85.5"/>
    <n v="0"/>
    <n v="-18"/>
  </r>
  <r>
    <n v="148807910"/>
    <x v="0"/>
    <s v="Aucma SD-280 280 л белый"/>
    <x v="14"/>
    <n v="280"/>
    <x v="4"/>
    <s v=" белый"/>
    <x v="3"/>
    <n v="173999"/>
    <n v="34"/>
    <n v="0.2982456140350877"/>
    <n v="2625933"/>
    <n v="0.15141247922061524"/>
    <s v="A"/>
    <n v="7"/>
    <n v="5"/>
    <n v="26"/>
    <s v="Defrost"/>
    <n v="106.5"/>
    <n v="89.6"/>
    <n v="73.599999999999994"/>
    <n v="3"/>
    <n v="0"/>
  </r>
  <r>
    <n v="162887915"/>
    <x v="1"/>
    <s v="Rebus RIF-700W 700 л белый"/>
    <x v="22"/>
    <n v="700"/>
    <x v="3"/>
    <s v="белый"/>
    <x v="3"/>
    <n v="275000"/>
    <n v="9"/>
    <n v="5.4545454545454543E-2"/>
    <n v="2553829"/>
    <n v="4.0068962768828341E-2"/>
    <s v="A"/>
    <n v="4"/>
    <n v="5"/>
    <n v="0"/>
    <s v="Defrost"/>
    <n v="193"/>
    <n v="82.5"/>
    <n v="71"/>
    <n v="0"/>
    <n v="-18"/>
  </r>
  <r>
    <n v="129607134"/>
    <x v="0"/>
    <s v="Friggier J SD/SC246SY 246 л серый"/>
    <x v="9"/>
    <n v="246"/>
    <x v="4"/>
    <s v=" серый"/>
    <x v="3"/>
    <n v="183200"/>
    <n v="14"/>
    <n v="0.12280701754385964"/>
    <n v="2551597"/>
    <n v="0.14712623198759608"/>
    <s v="A"/>
    <n v="5"/>
    <n v="5"/>
    <n v="6"/>
    <s v="ручное"/>
    <n v="103.3"/>
    <n v="91"/>
    <n v="62"/>
    <n v="3"/>
    <n v="-36"/>
  </r>
  <r>
    <n v="116903955"/>
    <x v="1"/>
    <s v="AVANGARD AF-750 750 л белый"/>
    <x v="2"/>
    <n v="750"/>
    <x v="3"/>
    <s v=" белый"/>
    <x v="3"/>
    <n v="349990"/>
    <n v="8"/>
    <n v="4.8484848484848485E-2"/>
    <n v="2540576"/>
    <n v="3.9861026386409905E-2"/>
    <s v="A"/>
    <n v="2"/>
    <n v="4.9000000000000004"/>
    <n v="25"/>
    <s v="Defrost"/>
    <n v="188"/>
    <n v="95.2"/>
    <n v="73.5"/>
    <n v="1"/>
    <n v="-18"/>
  </r>
  <r>
    <n v="120309401"/>
    <x v="1"/>
    <s v="AVANGARD AF-550 WHITE 550 л белый"/>
    <x v="2"/>
    <n v="550"/>
    <x v="2"/>
    <s v=" белый"/>
    <x v="3"/>
    <n v="299990"/>
    <n v="9"/>
    <n v="6.4748201438848921E-2"/>
    <n v="2439993"/>
    <n v="6.5399956996724573E-2"/>
    <s v="A"/>
    <n v="1"/>
    <n v="5"/>
    <n v="53"/>
    <s v="ручное"/>
    <n v="165"/>
    <n v="83.5"/>
    <n v="73"/>
    <n v="2"/>
    <n v="-18"/>
  </r>
  <r>
    <n v="102055246"/>
    <x v="2"/>
    <s v="Polair CB107-S 700 л белый"/>
    <x v="11"/>
    <n v="700"/>
    <x v="3"/>
    <s v=" белый"/>
    <x v="3"/>
    <n v="626778"/>
    <n v="4"/>
    <n v="2.4242424242424242E-2"/>
    <n v="2406200"/>
    <n v="3.775269926622133E-2"/>
    <s v="A"/>
    <n v="3"/>
    <n v="5"/>
    <n v="6"/>
    <s v="ручное"/>
    <n v="73"/>
    <n v="199"/>
    <n v="96"/>
    <n v="0"/>
    <n v="-18"/>
  </r>
  <r>
    <n v="145109215"/>
    <x v="0"/>
    <s v="BL18 1240 л темно-синий"/>
    <x v="42"/>
    <n v="1240"/>
    <x v="6"/>
    <s v=" темно-синий"/>
    <x v="3"/>
    <n v="560000"/>
    <n v="4"/>
    <n v="0.66666666666666663"/>
    <n v="2054121"/>
    <n v="0.62449714827741365"/>
    <s v="A"/>
    <n v="3"/>
    <n v="4.9000000000000004"/>
    <n v="4"/>
    <s v="Defrost"/>
    <n v="250"/>
    <n v="80"/>
    <n v="76"/>
    <n v="9"/>
    <n v="-25"/>
  </r>
  <r>
    <n v="124037055"/>
    <x v="0"/>
    <s v="Haier HFR-HM400 500 л серый"/>
    <x v="7"/>
    <n v="500"/>
    <x v="2"/>
    <s v="серый"/>
    <x v="3"/>
    <n v="1890000"/>
    <n v="1"/>
    <n v="7.1942446043165471E-3"/>
    <n v="1890000"/>
    <n v="5.0658308742610923E-2"/>
    <s v="B"/>
    <n v="1"/>
    <n v="5"/>
    <n v="0"/>
    <s v="Defrost"/>
    <n v="121"/>
    <n v="137"/>
    <n v="80"/>
    <n v="0"/>
    <n v="-28"/>
  </r>
  <r>
    <n v="141408862"/>
    <x v="0"/>
    <s v="Friggier CI-17A 600 л черный"/>
    <x v="9"/>
    <n v="600"/>
    <x v="1"/>
    <s v=" черный"/>
    <x v="3"/>
    <n v="371000"/>
    <n v="5"/>
    <n v="5.1546391752577317E-2"/>
    <n v="1875426"/>
    <n v="8.074305658733702E-2"/>
    <s v="B"/>
    <n v="4"/>
    <n v="5"/>
    <n v="5"/>
    <s v="ручное"/>
    <n v="165"/>
    <n v="86"/>
    <n v="76"/>
    <n v="5"/>
    <n v="-18"/>
  </r>
  <r>
    <n v="148807914"/>
    <x v="0"/>
    <s v="Aucma SD-330 330 л белый"/>
    <x v="14"/>
    <n v="330"/>
    <x v="5"/>
    <s v="белый"/>
    <x v="3"/>
    <n v="191900"/>
    <n v="9"/>
    <n v="7.6271186440677971E-2"/>
    <n v="1737543"/>
    <n v="6.872088580710535E-2"/>
    <s v="B"/>
    <n v="6"/>
    <n v="4.7"/>
    <n v="3"/>
    <s v="Defrost"/>
    <n v="130"/>
    <n v="89"/>
    <n v="73.599999999999994"/>
    <n v="5"/>
    <n v="0"/>
  </r>
  <r>
    <n v="121279939"/>
    <x v="0"/>
    <s v="Muxxed SD/SC-112B 122 л белый"/>
    <x v="3"/>
    <n v="122"/>
    <x v="11"/>
    <s v=" белый"/>
    <x v="3"/>
    <n v="89900"/>
    <n v="18"/>
    <n v="0.22500000000000001"/>
    <n v="1712335"/>
    <n v="5.6595651587460209E-2"/>
    <s v="B"/>
    <n v="2"/>
    <n v="4.5999999999999996"/>
    <n v="7"/>
    <s v="ручное"/>
    <n v="66"/>
    <n v="81"/>
    <n v="48"/>
    <n v="2"/>
    <n v="-18"/>
  </r>
  <r>
    <n v="117503828"/>
    <x v="0"/>
    <s v="MEISHIDIANQI LG-1000L 1000 л серый"/>
    <x v="6"/>
    <n v="1000"/>
    <x v="0"/>
    <s v="серый"/>
    <x v="3"/>
    <n v="499998"/>
    <n v="3"/>
    <n v="0.3"/>
    <n v="1704024"/>
    <n v="0.33288786115333469"/>
    <s v="A"/>
    <n v="4"/>
    <n v="4.9000000000000004"/>
    <n v="6"/>
    <s v="No Frost"/>
    <n v="200"/>
    <n v="85"/>
    <n v="75"/>
    <n v="9"/>
    <n v="-18"/>
  </r>
  <r>
    <n v="142956771"/>
    <x v="1"/>
    <s v="AVANGARD BD/BC-798 718 л белый"/>
    <x v="2"/>
    <n v="718"/>
    <x v="3"/>
    <s v=" белый"/>
    <x v="3"/>
    <n v="399990"/>
    <n v="4"/>
    <n v="2.4242424242424242E-2"/>
    <n v="1686482"/>
    <n v="2.6460496951165938E-2"/>
    <s v="A"/>
    <n v="2"/>
    <n v="4.9000000000000004"/>
    <n v="11"/>
    <s v="Defrost"/>
    <n v="197"/>
    <n v="86.4"/>
    <n v="93.5"/>
    <n v="0"/>
    <n v="-35"/>
  </r>
  <r>
    <n v="162695715"/>
    <x v="1"/>
    <s v="Rebus RIF-550S 550 л серый"/>
    <x v="22"/>
    <n v="550"/>
    <x v="2"/>
    <s v="серый"/>
    <x v="3"/>
    <n v="219980"/>
    <n v="8"/>
    <n v="5.7553956834532377E-2"/>
    <n v="1686190"/>
    <n v="4.5195520433176248E-2"/>
    <s v="A"/>
    <n v="1"/>
    <n v="5"/>
    <n v="0"/>
    <s v="Defrost"/>
    <n v="153.5"/>
    <n v="82.5"/>
    <n v="74"/>
    <n v="0"/>
    <n v="-18"/>
  </r>
  <r>
    <n v="117232074"/>
    <x v="0"/>
    <s v="Бирюса CF41 410 л белый"/>
    <x v="1"/>
    <n v="410"/>
    <x v="12"/>
    <s v=" белый"/>
    <x v="3"/>
    <n v="264385"/>
    <n v="6"/>
    <n v="0.19354838709677419"/>
    <n v="1661369"/>
    <n v="0.21692390573727041"/>
    <s v="A"/>
    <n v="3"/>
    <n v="5"/>
    <n v="55"/>
    <s v="ручное"/>
    <n v="132"/>
    <n v="88.5"/>
    <n v="66.5"/>
    <n v="5"/>
    <n v="-25"/>
  </r>
  <r>
    <n v="154651758"/>
    <x v="1"/>
    <s v="ORION BD-660 660 л серебристый"/>
    <x v="4"/>
    <n v="660"/>
    <x v="1"/>
    <s v=" серебристый"/>
    <x v="3"/>
    <n v="230990"/>
    <n v="6"/>
    <n v="6.1855670103092786E-2"/>
    <n v="1508049"/>
    <n v="6.4926307806054198E-2"/>
    <s v="A"/>
    <n v="1"/>
    <n v="5"/>
    <n v="5"/>
    <s v="ручное"/>
    <n v="180"/>
    <n v="84"/>
    <n v="67.400000000000006"/>
    <n v="2"/>
    <n v="-24"/>
  </r>
  <r>
    <n v="117689613"/>
    <x v="0"/>
    <s v="Бирюса CF32 320 л белый"/>
    <x v="1"/>
    <n v="320"/>
    <x v="5"/>
    <s v=" белый"/>
    <x v="3"/>
    <n v="273877"/>
    <n v="6"/>
    <n v="5.0847457627118647E-2"/>
    <n v="1478272"/>
    <n v="5.8466559563614386E-2"/>
    <s v="A"/>
    <n v="2"/>
    <n v="4.8"/>
    <n v="16"/>
    <s v="ручное"/>
    <n v="108.5"/>
    <n v="88.5"/>
    <n v="66.5"/>
    <n v="4"/>
    <n v="-25"/>
  </r>
  <r>
    <n v="140081934"/>
    <x v="0"/>
    <s v="Platinium PLSD-570 445 л белый"/>
    <x v="19"/>
    <n v="445"/>
    <x v="12"/>
    <s v=" белый"/>
    <x v="3"/>
    <n v="279999"/>
    <n v="5"/>
    <n v="0.16129032258064516"/>
    <n v="1341172"/>
    <n v="0.17511598477247764"/>
    <s v="A"/>
    <n v="6"/>
    <n v="5"/>
    <n v="3"/>
    <s v="ручное"/>
    <n v="153"/>
    <n v="85"/>
    <n v="68"/>
    <n v="5"/>
    <n v="-18"/>
  </r>
  <r>
    <n v="155757762"/>
    <x v="0"/>
    <s v="XINGX SD/SC326 326 л белый"/>
    <x v="26"/>
    <n v="326"/>
    <x v="5"/>
    <s v=" белый"/>
    <x v="3"/>
    <n v="198000"/>
    <n v="6"/>
    <n v="5.0847457627118647E-2"/>
    <n v="1310957"/>
    <n v="5.1849149226825125E-2"/>
    <s v="B"/>
    <n v="3"/>
    <n v="5"/>
    <n v="0"/>
    <s v="Defrost"/>
    <n v="125"/>
    <n v="90"/>
    <n v="60"/>
    <n v="3"/>
    <n v="-18"/>
  </r>
  <r>
    <n v="118087013"/>
    <x v="0"/>
    <s v="Бирюса CF50 500 л белый"/>
    <x v="1"/>
    <n v="500"/>
    <x v="2"/>
    <s v=" белый"/>
    <x v="3"/>
    <n v="349700"/>
    <n v="4"/>
    <n v="2.8776978417266189E-2"/>
    <n v="1266278"/>
    <n v="3.3940477184114221E-2"/>
    <s v="A"/>
    <n v="2"/>
    <n v="5"/>
    <n v="13"/>
    <s v="ручное"/>
    <n v="155.5"/>
    <n v="88.5"/>
    <n v="66.5"/>
    <n v="6"/>
    <n v="-25"/>
  </r>
  <r>
    <n v="153608532"/>
    <x v="1"/>
    <s v="Platinium PLM-720S 720 л серый"/>
    <x v="19"/>
    <n v="720"/>
    <x v="3"/>
    <s v=" серый"/>
    <x v="3"/>
    <n v="279900"/>
    <n v="4"/>
    <n v="2.4242424242424242E-2"/>
    <n v="1187605"/>
    <n v="1.8633236809933E-2"/>
    <s v="A"/>
    <n v="1"/>
    <n v="5"/>
    <n v="1"/>
    <s v="Defrost"/>
    <n v="180"/>
    <n v="80.599999999999994"/>
    <n v="71"/>
    <n v="0"/>
    <n v="-18"/>
  </r>
  <r>
    <n v="117232021"/>
    <x v="0"/>
    <s v="Бирюса CF23 230 л белый"/>
    <x v="1"/>
    <n v="230"/>
    <x v="4"/>
    <s v=" белый"/>
    <x v="3"/>
    <n v="202580"/>
    <n v="6"/>
    <n v="5.2631578947368418E-2"/>
    <n v="1183560"/>
    <n v="6.8244602549399153E-2"/>
    <s v="B"/>
    <n v="5"/>
    <n v="5"/>
    <n v="19"/>
    <s v="ручное"/>
    <n v="88"/>
    <n v="88.5"/>
    <n v="66.5"/>
    <n v="3"/>
    <n v="-25"/>
  </r>
  <r>
    <n v="153721974"/>
    <x v="1"/>
    <s v="Rebus RIF-600W 600 л белый"/>
    <x v="22"/>
    <n v="600"/>
    <x v="1"/>
    <s v=" белый"/>
    <x v="3"/>
    <n v="231000"/>
    <n v="5"/>
    <n v="5.1546391752577317E-2"/>
    <n v="1154980"/>
    <n v="4.9725563950399808E-2"/>
    <s v="B"/>
    <n v="3"/>
    <n v="5"/>
    <n v="1"/>
    <s v="Defrost"/>
    <n v="168.5"/>
    <n v="82.5"/>
    <n v="71"/>
    <n v="0"/>
    <n v="-18"/>
  </r>
  <r>
    <n v="165137985"/>
    <x v="0"/>
    <s v="XINGX SD/SC-246JY 246 л белый"/>
    <x v="26"/>
    <n v="246"/>
    <x v="4"/>
    <s v="белый"/>
    <x v="3"/>
    <n v="185000"/>
    <n v="6"/>
    <n v="5.2631578947368418E-2"/>
    <n v="1100000"/>
    <n v="6.3426495322872575E-2"/>
    <s v="B"/>
    <n v="1"/>
    <n v="5"/>
    <n v="2"/>
    <s v="Defrost"/>
    <n v="102"/>
    <n v="92"/>
    <n v="60"/>
    <n v="3"/>
    <n v="-22"/>
  </r>
  <r>
    <n v="150942040"/>
    <x v="0"/>
    <s v="Haibaite SD/SC-1800QY 618 л серый"/>
    <x v="27"/>
    <n v="618"/>
    <x v="1"/>
    <s v="серый"/>
    <x v="3"/>
    <n v="1100000"/>
    <n v="1"/>
    <n v="1.0309278350515464E-2"/>
    <n v="1100000"/>
    <n v="4.7358500013368013E-2"/>
    <s v="B"/>
    <n v="1"/>
    <n v="0"/>
    <n v="0"/>
    <s v="ручное"/>
    <n v="179.5"/>
    <n v="85"/>
    <n v="76.5"/>
    <n v="5"/>
    <n v="-20"/>
  </r>
  <r>
    <n v="113954312"/>
    <x v="1"/>
    <s v="Haier HCE520RF 516 л белый"/>
    <x v="7"/>
    <n v="516"/>
    <x v="2"/>
    <s v=" белый"/>
    <x v="3"/>
    <n v="369990"/>
    <n v="3"/>
    <n v="2.1582733812949641E-2"/>
    <n v="1087389"/>
    <n v="2.9145654859957116E-2"/>
    <s v="A"/>
    <n v="2"/>
    <n v="5"/>
    <n v="36"/>
    <s v="ручное"/>
    <n v="165"/>
    <n v="84.5"/>
    <n v="74.5"/>
    <n v="0"/>
    <n v="-29"/>
  </r>
  <r>
    <n v="110833716"/>
    <x v="2"/>
    <s v="Polair CB105-S 500 л белый"/>
    <x v="11"/>
    <n v="500"/>
    <x v="2"/>
    <s v=" белый"/>
    <x v="3"/>
    <n v="452196"/>
    <n v="2"/>
    <n v="1.4388489208633094E-2"/>
    <n v="1016140"/>
    <n v="2.7235943833712521E-2"/>
    <s v="A"/>
    <n v="4"/>
    <n v="5"/>
    <n v="4"/>
    <s v="ручное"/>
    <n v="69.7"/>
    <n v="196"/>
    <n v="69.5"/>
    <n v="0"/>
    <n v="-18"/>
  </r>
  <r>
    <n v="122074021"/>
    <x v="0"/>
    <s v="Friggier J SD/SC 366SY 366 л серый"/>
    <x v="9"/>
    <n v="366"/>
    <x v="5"/>
    <s v=" серый"/>
    <x v="3"/>
    <n v="217800"/>
    <n v="4"/>
    <n v="3.3898305084745763E-2"/>
    <n v="913832"/>
    <n v="3.6142613172093406E-2"/>
    <s v="B"/>
    <n v="4"/>
    <n v="5"/>
    <n v="5"/>
    <s v="Defrost"/>
    <n v="139"/>
    <n v="100"/>
    <n v="72"/>
    <n v="4"/>
    <n v="-18"/>
  </r>
  <r>
    <n v="155336923"/>
    <x v="0"/>
    <s v="LUX SD/SC-BYH2000 900 л черный, серый"/>
    <x v="24"/>
    <n v="900"/>
    <x v="10"/>
    <s v=" черный, серый"/>
    <x v="3"/>
    <n v="450000"/>
    <n v="2"/>
    <n v="0.5"/>
    <n v="900000"/>
    <n v="0.4848474400593884"/>
    <s v="B"/>
    <n v="1"/>
    <n v="0"/>
    <n v="0"/>
    <s v="Defrost"/>
    <n v="200"/>
    <n v="85"/>
    <n v="88"/>
    <n v="7"/>
    <n v="-26"/>
  </r>
  <r>
    <n v="102055230"/>
    <x v="2"/>
    <s v="Polair CВ114-S 1400 л белый"/>
    <x v="11"/>
    <n v="1400"/>
    <x v="9"/>
    <s v="белый"/>
    <x v="3"/>
    <n v="905240"/>
    <n v="1"/>
    <n v="1"/>
    <n v="886902"/>
    <n v="1"/>
    <s v="B"/>
    <n v="3"/>
    <n v="5"/>
    <n v="2"/>
    <s v="No Frost"/>
    <n v="147"/>
    <n v="199"/>
    <n v="88.4"/>
    <n v="0"/>
    <n v="-18"/>
  </r>
  <r>
    <n v="156640750"/>
    <x v="0"/>
    <s v="SAMGA SC/SD 338 338 л мультиколор"/>
    <x v="32"/>
    <n v="338"/>
    <x v="5"/>
    <s v=" мультиколор"/>
    <x v="3"/>
    <n v="224000"/>
    <n v="4"/>
    <n v="3.3898305084745763E-2"/>
    <n v="875000"/>
    <n v="3.4606783878854901E-2"/>
    <s v="A"/>
    <n v="2"/>
    <n v="5"/>
    <n v="8"/>
    <s v="ручное"/>
    <n v="128"/>
    <n v="83"/>
    <n v="60"/>
    <n v="5"/>
    <n v="-24"/>
  </r>
  <r>
    <n v="165138042"/>
    <x v="0"/>
    <s v="XINGX SD-SC-208JY 208 л белый"/>
    <x v="26"/>
    <n v="208"/>
    <x v="4"/>
    <s v="белый"/>
    <x v="3"/>
    <n v="175000"/>
    <n v="5"/>
    <n v="4.3859649122807015E-2"/>
    <n v="847712"/>
    <n v="4.8879455639220866E-2"/>
    <s v="B"/>
    <n v="1"/>
    <n v="0"/>
    <n v="0"/>
    <s v="Defrost"/>
    <n v="88"/>
    <n v="92"/>
    <n v="60"/>
    <n v="2"/>
    <n v="-22"/>
  </r>
  <r>
    <n v="149362714"/>
    <x v="0"/>
    <s v="FROX JK-S01D 613 л серый"/>
    <x v="17"/>
    <n v="613"/>
    <x v="1"/>
    <s v=" серый"/>
    <x v="3"/>
    <n v="405000"/>
    <n v="2"/>
    <n v="2.0618556701030927E-2"/>
    <n v="843294"/>
    <n v="3.6306489918430149E-2"/>
    <s v="A"/>
    <n v="1"/>
    <n v="5"/>
    <n v="3"/>
    <s v="Defrost"/>
    <n v="180"/>
    <n v="86"/>
    <n v="76"/>
    <n v="7"/>
    <n v="-22"/>
  </r>
  <r>
    <n v="140700154"/>
    <x v="0"/>
    <s v="SAMGA SC/SD-338S 338 л серый"/>
    <x v="32"/>
    <n v="338"/>
    <x v="5"/>
    <s v=" серый"/>
    <x v="3"/>
    <n v="219900"/>
    <n v="4"/>
    <n v="3.3898305084745763E-2"/>
    <n v="821000"/>
    <n v="3.247105093090271E-2"/>
    <s v="A"/>
    <n v="2"/>
    <n v="5"/>
    <n v="27"/>
    <s v="ручное"/>
    <n v="130"/>
    <n v="86"/>
    <n v="65"/>
    <n v="5"/>
    <n v="-25"/>
  </r>
  <r>
    <n v="117503807"/>
    <x v="0"/>
    <s v="MEISHIDIANQI LG-700L 700 л серый"/>
    <x v="6"/>
    <n v="700"/>
    <x v="3"/>
    <s v=" серый"/>
    <x v="3"/>
    <n v="390379"/>
    <n v="2"/>
    <n v="1.2121212121212121E-2"/>
    <n v="777301"/>
    <n v="1.2195665735322544E-2"/>
    <s v="A"/>
    <n v="2"/>
    <n v="4.9000000000000004"/>
    <n v="8"/>
    <s v="No Frost"/>
    <n v="200"/>
    <n v="85"/>
    <n v="75"/>
    <n v="7"/>
    <n v="-24"/>
  </r>
  <r>
    <n v="142298659"/>
    <x v="0"/>
    <s v="LUX 700 л серый"/>
    <x v="24"/>
    <n v="700"/>
    <x v="3"/>
    <s v=" серый"/>
    <x v="3"/>
    <n v="380953"/>
    <n v="2"/>
    <n v="1.2121212121212121E-2"/>
    <n v="763220"/>
    <n v="1.1974738232052798E-2"/>
    <s v="B"/>
    <n v="1"/>
    <n v="5"/>
    <n v="0"/>
    <s v="Defrost"/>
    <n v="200"/>
    <n v="80"/>
    <n v="76"/>
    <n v="7"/>
    <n v="-24"/>
  </r>
  <r>
    <n v="116138932"/>
    <x v="0"/>
    <s v="SAMGA SC/SD-338 338 л серебристый"/>
    <x v="32"/>
    <n v="338"/>
    <x v="5"/>
    <s v=" серебристый"/>
    <x v="3"/>
    <n v="219900"/>
    <n v="3"/>
    <n v="2.5423728813559324E-2"/>
    <n v="753613"/>
    <n v="2.9805853964909118E-2"/>
    <s v="A"/>
    <n v="2"/>
    <n v="4.9000000000000004"/>
    <n v="83"/>
    <s v="ручное"/>
    <n v="130"/>
    <n v="85"/>
    <n v="65"/>
    <n v="5"/>
    <n v="-24"/>
  </r>
  <r>
    <n v="122939001"/>
    <x v="0"/>
    <s v="Бирюса CF59 590 л белый"/>
    <x v="1"/>
    <n v="590"/>
    <x v="2"/>
    <s v=" белый"/>
    <x v="3"/>
    <n v="385997"/>
    <n v="2"/>
    <n v="1.4388489208633094E-2"/>
    <n v="717854"/>
    <n v="1.9240883367258318E-2"/>
    <s v="A"/>
    <n v="2"/>
    <n v="5"/>
    <n v="10"/>
    <s v="ручное"/>
    <n v="179"/>
    <n v="88.5"/>
    <n v="66.5"/>
    <n v="5"/>
    <n v="-25"/>
  </r>
  <r>
    <n v="159645113"/>
    <x v="2"/>
    <s v="Foodatlas FA1200-MOR 1200 л серый"/>
    <x v="37"/>
    <n v="1200"/>
    <x v="6"/>
    <s v=" серый"/>
    <x v="3"/>
    <n v="588990"/>
    <n v="1"/>
    <n v="0.16666666666666666"/>
    <n v="715119"/>
    <n v="0.21741162092155028"/>
    <s v="B"/>
    <n v="1"/>
    <n v="5"/>
    <n v="1"/>
    <s v="ручное"/>
    <n v="120"/>
    <n v="196"/>
    <n v="76"/>
    <n v="0"/>
    <n v="-15"/>
  </r>
  <r>
    <n v="140308862"/>
    <x v="0"/>
    <s v="Platinium PLSD-450 420 л белый"/>
    <x v="19"/>
    <n v="420"/>
    <x v="12"/>
    <s v=" белый"/>
    <x v="3"/>
    <n v="224000"/>
    <n v="3"/>
    <n v="9.6774193548387094E-2"/>
    <n v="710700"/>
    <n v="9.2795652144393018E-2"/>
    <s v="A"/>
    <n v="3"/>
    <n v="5"/>
    <n v="10"/>
    <s v="Defrost"/>
    <n v="131"/>
    <n v="83"/>
    <n v="69"/>
    <n v="6"/>
    <n v="-18"/>
  </r>
  <r>
    <n v="133958993"/>
    <x v="0"/>
    <s v="Haier GTS2500GB 800 л серый"/>
    <x v="7"/>
    <n v="800"/>
    <x v="8"/>
    <s v=" серый"/>
    <x v="3"/>
    <n v="693240"/>
    <n v="1"/>
    <n v="9.0909090909090912E-2"/>
    <n v="693240"/>
    <n v="0.13251557665895361"/>
    <s v="A"/>
    <n v="2"/>
    <n v="5"/>
    <n v="0"/>
    <s v="No Frost"/>
    <n v="250"/>
    <n v="81"/>
    <n v="86"/>
    <n v="0"/>
    <n v="0"/>
  </r>
  <r>
    <n v="137737167"/>
    <x v="1"/>
    <s v="OUCBOLL BD/BC-538 538 л белый"/>
    <x v="8"/>
    <n v="538"/>
    <x v="2"/>
    <s v="белый"/>
    <x v="3"/>
    <n v="349990"/>
    <n v="2"/>
    <n v="1.4388489208633094E-2"/>
    <n v="679490"/>
    <n v="1.8212600109797195E-2"/>
    <s v="C"/>
    <n v="1"/>
    <n v="5"/>
    <n v="0"/>
    <s v="ручное"/>
    <n v="174"/>
    <n v="89"/>
    <n v="66"/>
    <n v="1"/>
    <n v="-18"/>
  </r>
  <r>
    <n v="113146979"/>
    <x v="1"/>
    <s v="Hisense FC-66DD4SAS1 500 л белый"/>
    <x v="36"/>
    <n v="500"/>
    <x v="2"/>
    <s v=" белый"/>
    <x v="3"/>
    <n v="309990"/>
    <n v="2"/>
    <n v="1.4388489208633094E-2"/>
    <n v="662661"/>
    <n v="1.7761526735284285E-2"/>
    <s v="B"/>
    <n v="1"/>
    <n v="5"/>
    <n v="14"/>
    <s v="ручное"/>
    <n v="170.2"/>
    <n v="84.2"/>
    <n v="70.900000000000006"/>
    <n v="0"/>
    <n v="0"/>
  </r>
  <r>
    <n v="116988507"/>
    <x v="1"/>
    <s v="Haier HCE520RFC 516 л белый"/>
    <x v="7"/>
    <n v="516"/>
    <x v="2"/>
    <s v="белый"/>
    <x v="3"/>
    <n v="330826"/>
    <n v="2"/>
    <n v="1.4388489208633094E-2"/>
    <n v="661652"/>
    <n v="1.7734482167283599E-2"/>
    <s v="B"/>
    <n v="2"/>
    <n v="5"/>
    <n v="5"/>
    <s v="ручное"/>
    <n v="164"/>
    <n v="84.5"/>
    <n v="74.5"/>
    <n v="0"/>
    <n v="-29"/>
  </r>
  <r>
    <n v="166409350"/>
    <x v="0"/>
    <s v="FROX L500 588 л серый"/>
    <x v="17"/>
    <n v="588"/>
    <x v="2"/>
    <s v="серый"/>
    <x v="3"/>
    <n v="329000"/>
    <n v="2"/>
    <n v="1.4388489208633094E-2"/>
    <n v="658000"/>
    <n v="1.7636596377057136E-2"/>
    <s v="C"/>
    <n v="1"/>
    <n v="0"/>
    <n v="0"/>
    <s v="Defrost"/>
    <n v="150"/>
    <n v="88"/>
    <n v="80"/>
    <n v="5"/>
    <n v="-18"/>
  </r>
  <r>
    <n v="132115831"/>
    <x v="0"/>
    <s v="AVANGARD SD/SC-328Y (A1u) 328 л белый, серый"/>
    <x v="2"/>
    <n v="328"/>
    <x v="5"/>
    <s v=" белый, серый"/>
    <x v="3"/>
    <n v="229000"/>
    <n v="3"/>
    <n v="2.5423728813559324E-2"/>
    <n v="655730"/>
    <n v="2.5934521591864598E-2"/>
    <s v="A"/>
    <n v="1"/>
    <n v="5"/>
    <n v="42"/>
    <s v="ручное"/>
    <n v="129"/>
    <n v="84.1"/>
    <n v="66"/>
    <n v="4"/>
    <n v="-18"/>
  </r>
  <r>
    <n v="158660612"/>
    <x v="0"/>
    <s v="Almagreen SC/SD-600 600 л белый"/>
    <x v="20"/>
    <n v="600"/>
    <x v="1"/>
    <s v="белый"/>
    <x v="3"/>
    <n v="324990"/>
    <n v="2"/>
    <n v="2.0618556701030927E-2"/>
    <n v="649980"/>
    <n v="2.7983707126080854E-2"/>
    <s v="C"/>
    <n v="2"/>
    <n v="0"/>
    <n v="0"/>
    <s v="Defrost"/>
    <n v="188"/>
    <n v="90"/>
    <n v="65.3"/>
    <n v="0"/>
    <n v="-18"/>
  </r>
  <r>
    <n v="131172629"/>
    <x v="0"/>
    <s v="XINGX SD/SC-1000BY 1000 л серый, мультиколор"/>
    <x v="26"/>
    <n v="1000"/>
    <x v="0"/>
    <s v=" серый, мультиколор"/>
    <x v="3"/>
    <n v="650000"/>
    <n v="1"/>
    <n v="0.1"/>
    <n v="645999"/>
    <n v="0.12619847221470651"/>
    <s v="B"/>
    <n v="2"/>
    <n v="5"/>
    <n v="2"/>
    <s v="Defrost"/>
    <n v="250"/>
    <n v="85"/>
    <n v="85"/>
    <n v="8"/>
    <n v="-18"/>
  </r>
  <r>
    <n v="159517634"/>
    <x v="1"/>
    <s v="Bravo BF-750S 750 л серый"/>
    <x v="43"/>
    <n v="750"/>
    <x v="3"/>
    <s v="серый"/>
    <x v="3"/>
    <n v="299900"/>
    <n v="2"/>
    <n v="1.2121212121212121E-2"/>
    <n v="645668"/>
    <n v="1.0130375625393814E-2"/>
    <s v="C"/>
    <n v="1"/>
    <n v="5"/>
    <n v="0"/>
    <s v="ручное"/>
    <n v="188"/>
    <n v="95.5"/>
    <n v="73.5"/>
    <n v="2"/>
    <n v="-18"/>
  </r>
  <r>
    <n v="140330902"/>
    <x v="0"/>
    <s v="Platinium PLSD-350 330 л белый"/>
    <x v="19"/>
    <n v="330"/>
    <x v="5"/>
    <s v=" белый"/>
    <x v="3"/>
    <n v="201990"/>
    <n v="3"/>
    <n v="2.5423728813559324E-2"/>
    <n v="626512"/>
    <n v="2.4778931864581875E-2"/>
    <s v="B"/>
    <n v="2"/>
    <n v="4.8"/>
    <n v="4"/>
    <s v="Defrost"/>
    <n v="122.4"/>
    <n v="82"/>
    <n v="65.400000000000006"/>
    <n v="6"/>
    <n v="0"/>
  </r>
  <r>
    <n v="137444909"/>
    <x v="0"/>
    <s v="TIGER SD-500NL 500 л черный"/>
    <x v="0"/>
    <n v="500"/>
    <x v="2"/>
    <s v=" черный"/>
    <x v="3"/>
    <n v="327800"/>
    <n v="2"/>
    <n v="1.4388489208633094E-2"/>
    <n v="625036"/>
    <n v="1.6753051144574899E-2"/>
    <s v="B"/>
    <n v="2"/>
    <n v="5"/>
    <n v="2"/>
    <s v="Defrost"/>
    <n v="150"/>
    <n v="85"/>
    <n v="76"/>
    <n v="5"/>
    <n v="-24"/>
  </r>
  <r>
    <n v="121978807"/>
    <x v="0"/>
    <s v="AVANGARD CQS21L 900 л серый"/>
    <x v="2"/>
    <n v="900"/>
    <x v="10"/>
    <s v=" серый"/>
    <x v="3"/>
    <n v="519090"/>
    <n v="1"/>
    <n v="0.25"/>
    <n v="597611"/>
    <n v="0.32194462611259017"/>
    <s v="A"/>
    <n v="4"/>
    <n v="4.8"/>
    <n v="13"/>
    <s v="ручное"/>
    <n v="214.5"/>
    <n v="86"/>
    <n v="89"/>
    <n v="6"/>
    <n v="-18"/>
  </r>
  <r>
    <n v="154154972"/>
    <x v="0"/>
    <s v="Friggier CI-15A 500 л темно‑серый"/>
    <x v="9"/>
    <n v="500"/>
    <x v="2"/>
    <s v="темно‑серый"/>
    <x v="3"/>
    <n v="295000"/>
    <n v="2"/>
    <n v="1.4388489208633094E-2"/>
    <n v="590000"/>
    <n v="1.5813969395841506E-2"/>
    <s v="B"/>
    <n v="1"/>
    <n v="5"/>
    <n v="1"/>
    <s v="ручное"/>
    <n v="147"/>
    <n v="85"/>
    <n v="75"/>
    <n v="5"/>
    <n v="-18"/>
  </r>
  <r>
    <n v="119264283"/>
    <x v="0"/>
    <s v="Muxxed SD/SC-105Y 105 л белый"/>
    <x v="3"/>
    <n v="105"/>
    <x v="11"/>
    <s v=" белый"/>
    <x v="3"/>
    <n v="86700"/>
    <n v="7"/>
    <n v="8.7499999999999994E-2"/>
    <n v="562822"/>
    <n v="1.8602246533393017E-2"/>
    <s v="A"/>
    <n v="1"/>
    <n v="4.9000000000000004"/>
    <n v="17"/>
    <s v="ручное"/>
    <n v="60"/>
    <n v="80"/>
    <n v="55"/>
    <n v="1"/>
    <n v="-18"/>
  </r>
  <r>
    <n v="110577135"/>
    <x v="1"/>
    <s v="FROSTOR F 800 S 800 л белый-серый"/>
    <x v="18"/>
    <n v="800"/>
    <x v="8"/>
    <s v="серый"/>
    <x v="3"/>
    <n v="555000"/>
    <n v="1"/>
    <n v="9.0909090909090912E-2"/>
    <n v="555000"/>
    <n v="0.10609045214603781"/>
    <s v="C"/>
    <n v="1"/>
    <n v="4.9000000000000004"/>
    <n v="9"/>
    <s v="ручное"/>
    <n v="200"/>
    <n v="84"/>
    <n v="60"/>
    <n v="4"/>
    <n v="-25"/>
  </r>
  <r>
    <n v="138886743"/>
    <x v="2"/>
    <s v="Foodsense VF-1200L 1200 л стальной"/>
    <x v="21"/>
    <n v="120"/>
    <x v="11"/>
    <s v=" стальной"/>
    <x v="3"/>
    <n v="659169"/>
    <n v="1"/>
    <n v="1.2500000000000001E-2"/>
    <n v="553690"/>
    <n v="1.830041804171546E-2"/>
    <s v="A"/>
    <n v="7"/>
    <n v="5"/>
    <n v="3"/>
    <s v="Defrost"/>
    <n v="120"/>
    <n v="196"/>
    <n v="76"/>
    <n v="0"/>
    <n v="-14"/>
  </r>
  <r>
    <n v="131142642"/>
    <x v="1"/>
    <s v="Rebus RF-750-1 750 л белый"/>
    <x v="22"/>
    <n v="750"/>
    <x v="3"/>
    <s v="белый"/>
    <x v="3"/>
    <n v="500000"/>
    <n v="1"/>
    <n v="6.0606060606060606E-3"/>
    <n v="551147"/>
    <n v="8.6473638693708287E-3"/>
    <s v="C"/>
    <n v="1"/>
    <n v="5"/>
    <n v="0"/>
    <s v="ручное"/>
    <n v="194.5"/>
    <n v="82.5"/>
    <n v="79.7"/>
    <n v="0"/>
    <n v="-18"/>
  </r>
  <r>
    <n v="148807907"/>
    <x v="1"/>
    <s v="Aucma BC/BD(W)-600KFW 600 л белый"/>
    <x v="14"/>
    <n v="600"/>
    <x v="1"/>
    <s v=" белый"/>
    <x v="3"/>
    <n v="250578"/>
    <n v="2"/>
    <n v="2.0618556701030927E-2"/>
    <n v="528732"/>
    <n v="2.2763594935516451E-2"/>
    <s v="C"/>
    <n v="3"/>
    <n v="4.5999999999999996"/>
    <n v="4"/>
    <s v="Defrost"/>
    <n v="170.3"/>
    <n v="88.5"/>
    <n v="76"/>
    <n v="0"/>
    <n v="-17"/>
  </r>
  <r>
    <n v="141583677"/>
    <x v="1"/>
    <s v="ORION BD 660S 660 л серый"/>
    <x v="4"/>
    <n v="660"/>
    <x v="1"/>
    <s v=" серый"/>
    <x v="3"/>
    <n v="700000"/>
    <n v="2"/>
    <n v="2.0618556701030927E-2"/>
    <n v="521890"/>
    <n v="2.2469025065433301E-2"/>
    <s v="A"/>
    <n v="1"/>
    <n v="4.5999999999999996"/>
    <n v="14"/>
    <s v="ручное"/>
    <n v="180"/>
    <n v="84"/>
    <n v="67.400000000000006"/>
    <n v="2"/>
    <n v="-24"/>
  </r>
  <r>
    <n v="131467095"/>
    <x v="0"/>
    <s v="LUX 1200 л серый"/>
    <x v="24"/>
    <n v="1200"/>
    <x v="6"/>
    <s v="серый"/>
    <x v="3"/>
    <n v="800000"/>
    <n v="1"/>
    <n v="0.16666666666666666"/>
    <n v="520000"/>
    <n v="0.1580912308010361"/>
    <s v="C"/>
    <n v="1"/>
    <n v="5"/>
    <n v="0"/>
    <s v="No Frost"/>
    <n v="250"/>
    <n v="82"/>
    <n v="80"/>
    <n v="9"/>
    <n v="0"/>
  </r>
  <r>
    <n v="128436967"/>
    <x v="0"/>
    <s v="RKS Cold 250 BD-980-27 1100 л серый"/>
    <x v="34"/>
    <n v="1100"/>
    <x v="14"/>
    <s v=" серый"/>
    <x v="3"/>
    <n v="494920"/>
    <n v="1"/>
    <n v="0.5"/>
    <n v="514000"/>
    <n v="0.5171130203827039"/>
    <s v="B"/>
    <n v="2"/>
    <n v="5"/>
    <n v="1"/>
    <s v="ручное"/>
    <n v="250"/>
    <n v="86"/>
    <n v="77"/>
    <n v="9"/>
    <n v="-18"/>
  </r>
  <r>
    <n v="132777674"/>
    <x v="0"/>
    <s v="AVANGARD SD/SC-1800RS 647 л белый, серый"/>
    <x v="2"/>
    <n v="647"/>
    <x v="1"/>
    <s v=" белый, серый"/>
    <x v="3"/>
    <n v="429990"/>
    <n v="1"/>
    <n v="1.0309278350515464E-2"/>
    <n v="507676"/>
    <n v="2.1857067138896926E-2"/>
    <s v="B"/>
    <n v="1"/>
    <n v="5"/>
    <n v="2"/>
    <s v="Defrost"/>
    <n v="182"/>
    <n v="82.2"/>
    <n v="82.2"/>
    <n v="6"/>
    <n v="-25"/>
  </r>
  <r>
    <n v="106833516"/>
    <x v="0"/>
    <s v="FROSTOR Gellar FG 700 С 590 л серый"/>
    <x v="18"/>
    <n v="590"/>
    <x v="2"/>
    <s v="серый"/>
    <x v="3"/>
    <n v="500000"/>
    <n v="1"/>
    <n v="7.1942446043165471E-3"/>
    <n v="500000"/>
    <n v="1.34016689795267E-2"/>
    <s v="C"/>
    <n v="2"/>
    <n v="4.0999999999999996"/>
    <n v="11"/>
    <s v="ручное"/>
    <n v="180"/>
    <n v="84"/>
    <n v="60"/>
    <n v="8"/>
    <n v="-22"/>
  </r>
  <r>
    <n v="113072746"/>
    <x v="0"/>
    <s v="FROSTOR F 700 C 700 л белый, серый"/>
    <x v="18"/>
    <n v="700"/>
    <x v="3"/>
    <s v=" белый, серый"/>
    <x v="3"/>
    <n v="480000"/>
    <n v="1"/>
    <n v="6.0606060606060606E-3"/>
    <n v="480000"/>
    <n v="7.5310845514862598E-3"/>
    <s v="B"/>
    <n v="2"/>
    <n v="4.9000000000000004"/>
    <n v="45"/>
    <s v="ручное"/>
    <n v="180"/>
    <n v="84"/>
    <n v="60"/>
    <n v="6"/>
    <n v="-22"/>
  </r>
  <r>
    <n v="156863482"/>
    <x v="1"/>
    <s v="Platinium PLM-1100S 1100 л серый"/>
    <x v="19"/>
    <n v="1100"/>
    <x v="14"/>
    <s v=" серый"/>
    <x v="3"/>
    <n v="479980"/>
    <n v="1"/>
    <n v="0.5"/>
    <n v="479980"/>
    <n v="0.4828869796172961"/>
    <s v="B"/>
    <n v="3"/>
    <n v="5"/>
    <n v="0"/>
    <s v="Defrost"/>
    <n v="236"/>
    <n v="85"/>
    <n v="90"/>
    <n v="0"/>
    <n v="-20"/>
  </r>
  <r>
    <n v="154652840"/>
    <x v="1"/>
    <s v="ORION BD-560S 560 л серебристый"/>
    <x v="4"/>
    <n v="560"/>
    <x v="2"/>
    <s v=" серебристый"/>
    <x v="3"/>
    <n v="218990"/>
    <n v="2"/>
    <n v="1.4388489208633094E-2"/>
    <n v="475504"/>
    <n v="1.2745094412881727E-2"/>
    <s v="B"/>
    <n v="1"/>
    <n v="4.5"/>
    <n v="2"/>
    <s v="ручное"/>
    <n v="160"/>
    <n v="84"/>
    <n v="67.400000000000006"/>
    <n v="2"/>
    <n v="-24"/>
  </r>
  <r>
    <n v="166729170"/>
    <x v="0"/>
    <s v="ORION SD-160 160 л серебристый"/>
    <x v="4"/>
    <n v="160"/>
    <x v="11"/>
    <s v="серебристый"/>
    <x v="3"/>
    <n v="500000"/>
    <n v="2"/>
    <n v="2.5000000000000001E-2"/>
    <n v="461350"/>
    <n v="1.524842034991679E-2"/>
    <s v="C"/>
    <n v="1"/>
    <n v="0"/>
    <n v="0"/>
    <s v="ручное"/>
    <n v="50"/>
    <n v="70"/>
    <n v="45"/>
    <n v="5"/>
    <n v="-18"/>
  </r>
  <r>
    <n v="143491581"/>
    <x v="2"/>
    <s v="AOLIEGE CF-E6 800 л серебристый"/>
    <x v="25"/>
    <n v="800"/>
    <x v="8"/>
    <s v="серебристый"/>
    <x v="3"/>
    <n v="403800"/>
    <n v="1"/>
    <n v="9.0909090909090912E-2"/>
    <n v="457954"/>
    <n v="8.7539724183939821E-2"/>
    <s v="C"/>
    <n v="2"/>
    <n v="0"/>
    <n v="0"/>
    <s v="ручное"/>
    <n v="120"/>
    <n v="200"/>
    <n v="70"/>
    <n v="0"/>
    <n v="-18"/>
  </r>
  <r>
    <n v="136188270"/>
    <x v="0"/>
    <s v="AVANGARD SD/SC-158 158 л белый, синий"/>
    <x v="2"/>
    <n v="158"/>
    <x v="11"/>
    <s v="белый"/>
    <x v="3"/>
    <n v="164990"/>
    <n v="3"/>
    <n v="3.7499999999999999E-2"/>
    <n v="452502"/>
    <n v="1.4955978552461358E-2"/>
    <s v="C"/>
    <n v="3"/>
    <n v="5"/>
    <n v="2"/>
    <s v="ручное"/>
    <n v="60.6"/>
    <n v="85"/>
    <n v="70"/>
    <n v="1"/>
    <n v="-18"/>
  </r>
  <r>
    <n v="100619981"/>
    <x v="0"/>
    <s v="FROSTOR Gellar FG 700 C 590 л красный"/>
    <x v="18"/>
    <n v="590"/>
    <x v="2"/>
    <s v="красный"/>
    <x v="3"/>
    <n v="480000"/>
    <n v="1"/>
    <n v="7.1942446043165471E-3"/>
    <n v="410000"/>
    <n v="1.0989368563211893E-2"/>
    <s v="C"/>
    <n v="2"/>
    <n v="4.8499999999999996"/>
    <n v="42"/>
    <s v="ручное"/>
    <n v="181"/>
    <n v="85"/>
    <n v="60"/>
    <n v="8"/>
    <n v="-25"/>
  </r>
  <r>
    <n v="155690165"/>
    <x v="0"/>
    <s v="LUX SD-800 880 л серый, молочный"/>
    <x v="24"/>
    <n v="880"/>
    <x v="8"/>
    <s v=" серый, молочный"/>
    <x v="3"/>
    <n v="410000"/>
    <n v="1"/>
    <n v="9.0909090909090912E-2"/>
    <n v="410000"/>
    <n v="7.8373126810586488E-2"/>
    <s v="B"/>
    <n v="1"/>
    <n v="5"/>
    <n v="0"/>
    <s v="Defrost"/>
    <n v="210"/>
    <n v="87"/>
    <n v="81"/>
    <n v="0"/>
    <n v="-26"/>
  </r>
  <r>
    <n v="138886748"/>
    <x v="2"/>
    <s v="Foodsense VF-600L 600 л стальной"/>
    <x v="21"/>
    <n v="600"/>
    <x v="1"/>
    <s v="стальной"/>
    <x v="3"/>
    <n v="397365"/>
    <n v="1"/>
    <n v="1.0309278350515464E-2"/>
    <n v="409169"/>
    <n v="1.7616027356336161E-2"/>
    <s v="C"/>
    <n v="7"/>
    <n v="5"/>
    <n v="4"/>
    <s v="ручное"/>
    <n v="60"/>
    <n v="196"/>
    <n v="76"/>
    <n v="0"/>
    <n v="-14"/>
  </r>
  <r>
    <n v="162467614"/>
    <x v="0"/>
    <s v="Friggier SD/SC-728BY 669 л белый"/>
    <x v="9"/>
    <n v="669"/>
    <x v="1"/>
    <s v="белый"/>
    <x v="3"/>
    <n v="398900"/>
    <n v="1"/>
    <n v="1.0309278350515464E-2"/>
    <n v="406552"/>
    <n v="1.7503357179486177E-2"/>
    <s v="B"/>
    <n v="1"/>
    <n v="0"/>
    <n v="0"/>
    <s v="ручное"/>
    <n v="200"/>
    <n v="84"/>
    <n v="67"/>
    <n v="7"/>
    <n v="-26"/>
  </r>
  <r>
    <n v="121205888"/>
    <x v="2"/>
    <s v="AOLIEGE HZRL4 800 л серебристый"/>
    <x v="25"/>
    <n v="800"/>
    <x v="8"/>
    <s v=" серебристый"/>
    <x v="3"/>
    <n v="391900"/>
    <n v="1"/>
    <n v="9.0909090909090912E-2"/>
    <n v="391900"/>
    <n v="7.4913239992850836E-2"/>
    <s v="B"/>
    <n v="1"/>
    <n v="5"/>
    <n v="2"/>
    <s v="Defrost"/>
    <n v="60"/>
    <n v="196"/>
    <n v="76"/>
    <n v="0"/>
    <n v="-14"/>
  </r>
  <r>
    <n v="122620734"/>
    <x v="0"/>
    <s v="Friggier J SD-730B 730 л серый"/>
    <x v="9"/>
    <n v="730"/>
    <x v="3"/>
    <s v="серый"/>
    <x v="3"/>
    <n v="374900"/>
    <n v="1"/>
    <n v="6.0606060606060606E-3"/>
    <n v="391714"/>
    <n v="6.1458984458351851E-3"/>
    <s v="B"/>
    <n v="1"/>
    <n v="4.5999999999999996"/>
    <n v="2"/>
    <s v="No Frost"/>
    <n v="190"/>
    <n v="94"/>
    <n v="83"/>
    <n v="6"/>
    <n v="-20"/>
  </r>
  <r>
    <n v="147291509"/>
    <x v="1"/>
    <s v="Blesk BL-718BD 708 л белый"/>
    <x v="38"/>
    <n v="708"/>
    <x v="3"/>
    <s v=" белый"/>
    <x v="3"/>
    <n v="406990"/>
    <n v="1"/>
    <n v="6.0606060606060606E-3"/>
    <n v="379711"/>
    <n v="5.9575742627695815E-3"/>
    <s v="B"/>
    <n v="11"/>
    <n v="5"/>
    <n v="2"/>
    <s v="ручное"/>
    <n v="211"/>
    <n v="80"/>
    <n v="79"/>
    <n v="2"/>
    <n v="0"/>
  </r>
  <r>
    <n v="132088486"/>
    <x v="0"/>
    <s v="Бирюса CF68 680 л белый"/>
    <x v="1"/>
    <n v="680"/>
    <x v="1"/>
    <s v=" белый"/>
    <x v="3"/>
    <n v="372402"/>
    <n v="1"/>
    <n v="1.0309278350515464E-2"/>
    <n v="365927"/>
    <n v="1.5754321667628832E-2"/>
    <s v="A"/>
    <n v="3"/>
    <n v="5"/>
    <n v="18"/>
    <s v="ручное"/>
    <n v="202.5"/>
    <n v="88.5"/>
    <n v="66.5"/>
    <n v="6"/>
    <n v="-25"/>
  </r>
  <r>
    <n v="120039135"/>
    <x v="0"/>
    <s v="Almagreen SC/SD 280 л синий"/>
    <x v="20"/>
    <n v="280"/>
    <x v="4"/>
    <s v=" синий"/>
    <x v="3"/>
    <n v="179990"/>
    <n v="2"/>
    <n v="1.7543859649122806E-2"/>
    <n v="359980"/>
    <n v="2.0756608896661519E-2"/>
    <s v="A"/>
    <n v="1"/>
    <n v="4.9000000000000004"/>
    <n v="21"/>
    <s v="Defrost"/>
    <n v="69"/>
    <n v="90"/>
    <n v="102"/>
    <n v="4"/>
    <n v="-24"/>
  </r>
  <r>
    <n v="142956773"/>
    <x v="1"/>
    <s v="AVANGARD BD/BC-958 958 л белый"/>
    <x v="2"/>
    <n v="958"/>
    <x v="10"/>
    <s v="белый"/>
    <x v="3"/>
    <n v="418995"/>
    <n v="1"/>
    <n v="0.25"/>
    <n v="358643"/>
    <n v="0.19320793382802137"/>
    <s v="C"/>
    <n v="2"/>
    <n v="5"/>
    <n v="5"/>
    <s v="Defrost"/>
    <n v="230"/>
    <n v="86.4"/>
    <n v="93.5"/>
    <n v="0"/>
    <n v="-35"/>
  </r>
  <r>
    <n v="165137896"/>
    <x v="0"/>
    <s v="XINGX SD/SC103B 103 л белый"/>
    <x v="26"/>
    <n v="103"/>
    <x v="11"/>
    <s v="белый"/>
    <x v="3"/>
    <n v="155000"/>
    <n v="2"/>
    <n v="2.5000000000000001E-2"/>
    <n v="330897"/>
    <n v="1.0936721683161192E-2"/>
    <s v="C"/>
    <n v="1"/>
    <n v="0"/>
    <n v="0"/>
    <s v="Defrost"/>
    <n v="55"/>
    <n v="81"/>
    <n v="51"/>
    <n v="0"/>
    <n v="-22"/>
  </r>
  <r>
    <n v="162985690"/>
    <x v="0"/>
    <s v="Aucma SD 620 620 л белый"/>
    <x v="14"/>
    <n v="620"/>
    <x v="1"/>
    <s v="белый"/>
    <x v="3"/>
    <n v="299999"/>
    <n v="22"/>
    <n v="0.22680412371134021"/>
    <n v="328642"/>
    <n v="1.414908378308481E-2"/>
    <s v="C"/>
    <n v="7"/>
    <n v="5"/>
    <n v="19"/>
    <s v="Defrost"/>
    <n v="176.3"/>
    <n v="92.5"/>
    <n v="77.599999999999994"/>
    <n v="0"/>
    <n v="-17"/>
  </r>
  <r>
    <n v="141167073"/>
    <x v="1"/>
    <s v="Hansa FS5021.3W 502 л белый"/>
    <x v="23"/>
    <n v="502"/>
    <x v="2"/>
    <s v=" белый"/>
    <x v="3"/>
    <n v="294982"/>
    <n v="1"/>
    <n v="7.1942446043165471E-3"/>
    <n v="319990"/>
    <n v="8.5768001135174965E-3"/>
    <s v="B"/>
    <n v="5"/>
    <n v="4.9000000000000004"/>
    <n v="14"/>
    <s v="ручное"/>
    <n v="155"/>
    <n v="89"/>
    <n v="77"/>
    <n v="4"/>
    <n v="0"/>
  </r>
  <r>
    <n v="140289737"/>
    <x v="0"/>
    <s v="Friggier SD520Q 520 л белый"/>
    <x v="9"/>
    <n v="520"/>
    <x v="2"/>
    <s v="белый"/>
    <x v="3"/>
    <n v="319200"/>
    <n v="1"/>
    <n v="7.1942446043165471E-3"/>
    <n v="319200"/>
    <n v="8.5556254765298441E-3"/>
    <s v="C"/>
    <n v="4"/>
    <n v="5"/>
    <n v="0"/>
    <s v="ручное"/>
    <n v="152"/>
    <n v="84"/>
    <n v="70"/>
    <n v="5"/>
    <n v="-18"/>
  </r>
  <r>
    <n v="116319762"/>
    <x v="1"/>
    <s v="Бирюса 560КХ 510 л белый"/>
    <x v="1"/>
    <n v="510"/>
    <x v="2"/>
    <s v="белый"/>
    <x v="3"/>
    <n v="319000"/>
    <n v="1"/>
    <n v="7.1942446043165471E-3"/>
    <n v="314155"/>
    <n v="8.4204026365264206E-3"/>
    <s v="C"/>
    <n v="1"/>
    <n v="4.83"/>
    <n v="2"/>
    <s v="ручное"/>
    <n v="179"/>
    <n v="81"/>
    <n v="66.5"/>
    <n v="2"/>
    <n v="0"/>
  </r>
  <r>
    <n v="103923411"/>
    <x v="2"/>
    <s v="BEKO BU1200HCA 96 л белый"/>
    <x v="28"/>
    <n v="96"/>
    <x v="15"/>
    <s v="белый"/>
    <x v="3"/>
    <n v="309990"/>
    <n v="1"/>
    <n v="1"/>
    <n v="309990"/>
    <n v="1"/>
    <s v="B"/>
    <n v="3"/>
    <n v="4.9000000000000004"/>
    <n v="14"/>
    <s v="ручное"/>
    <n v="59.5"/>
    <n v="81.8"/>
    <n v="54.5"/>
    <n v="0"/>
    <n v="-24"/>
  </r>
  <r>
    <n v="153722102"/>
    <x v="1"/>
    <s v="Rebus RIF-700S 700 л серый"/>
    <x v="22"/>
    <n v="700"/>
    <x v="3"/>
    <s v=" серый"/>
    <x v="3"/>
    <n v="292666"/>
    <n v="1"/>
    <n v="6.0606060606060606E-3"/>
    <n v="296950"/>
    <n v="4.6590740782580103E-3"/>
    <s v="B"/>
    <n v="6"/>
    <n v="5"/>
    <n v="1"/>
    <s v="Defrost"/>
    <n v="193"/>
    <n v="82.5"/>
    <n v="71"/>
    <n v="0"/>
    <n v="0"/>
  </r>
  <r>
    <n v="148912880"/>
    <x v="1"/>
    <s v="SABA HD-600 600 л белый"/>
    <x v="29"/>
    <n v="600"/>
    <x v="1"/>
    <s v=" белый"/>
    <x v="3"/>
    <n v="308990"/>
    <n v="1"/>
    <n v="1.0309278350515464E-2"/>
    <n v="289330"/>
    <n v="1.2456577098970698E-2"/>
    <s v="C"/>
    <n v="1"/>
    <n v="5"/>
    <n v="3"/>
    <s v="ручное"/>
    <n v="177.5"/>
    <n v="91"/>
    <n v="72.5"/>
    <n v="3"/>
    <n v="-18"/>
  </r>
  <r>
    <n v="163466491"/>
    <x v="0"/>
    <s v="AVANGARD SC/SD-308 400 л белый, серый"/>
    <x v="2"/>
    <n v="400"/>
    <x v="12"/>
    <s v="белый"/>
    <x v="3"/>
    <n v="255200"/>
    <n v="1"/>
    <n v="3.2258064516129031E-2"/>
    <n v="287972"/>
    <n v="3.7600322976396712E-2"/>
    <s v="C"/>
    <n v="1"/>
    <n v="5"/>
    <n v="1"/>
    <s v="ручное"/>
    <n v="104"/>
    <n v="63.7"/>
    <n v="59.8"/>
    <n v="5"/>
    <n v="-22"/>
  </r>
  <r>
    <n v="159643820"/>
    <x v="1"/>
    <s v="XINGX BC/BD701AS 701 л белый"/>
    <x v="26"/>
    <n v="701"/>
    <x v="3"/>
    <s v="белый"/>
    <x v="3"/>
    <n v="274000"/>
    <n v="1"/>
    <n v="6.0606060606060606E-3"/>
    <n v="275000"/>
    <n v="4.3146838576223366E-3"/>
    <s v="C"/>
    <n v="2"/>
    <n v="0"/>
    <n v="0"/>
    <s v="ручное"/>
    <n v="195"/>
    <n v="88"/>
    <n v="80"/>
    <n v="1"/>
    <n v="-18"/>
  </r>
  <r>
    <n v="153336154"/>
    <x v="1"/>
    <s v="Rebus RIF-550W 550 л белый"/>
    <x v="22"/>
    <n v="550"/>
    <x v="2"/>
    <s v=" белый"/>
    <x v="3"/>
    <n v="249980"/>
    <n v="1"/>
    <n v="7.1942446043165471E-3"/>
    <n v="249990"/>
    <n v="6.7005664563837587E-3"/>
    <s v="B"/>
    <n v="2"/>
    <n v="5"/>
    <n v="3"/>
    <s v="Defrost"/>
    <n v="153.5"/>
    <n v="82.5"/>
    <n v="74"/>
    <n v="0"/>
    <n v="-18"/>
  </r>
  <r>
    <n v="156862883"/>
    <x v="1"/>
    <s v="Platinium PLM-550S 550 л серый"/>
    <x v="19"/>
    <n v="550"/>
    <x v="2"/>
    <s v="серый"/>
    <x v="3"/>
    <n v="233000"/>
    <n v="1"/>
    <n v="7.1942446043165471E-3"/>
    <n v="234980"/>
    <n v="6.2982483536183674E-3"/>
    <s v="C"/>
    <n v="5"/>
    <n v="0"/>
    <n v="0"/>
    <s v="Defrost"/>
    <n v="153"/>
    <n v="74"/>
    <n v="83"/>
    <n v="1"/>
    <n v="-18"/>
  </r>
  <r>
    <n v="166729413"/>
    <x v="0"/>
    <s v="ORION SD-260 260 л серый"/>
    <x v="4"/>
    <n v="260"/>
    <x v="4"/>
    <s v="серый"/>
    <x v="3"/>
    <n v="500000"/>
    <n v="1"/>
    <n v="8.771929824561403E-3"/>
    <n v="177990"/>
    <n v="1.0262983547743718E-2"/>
    <s v="C"/>
    <n v="1"/>
    <n v="0"/>
    <n v="0"/>
    <s v="ручное"/>
    <n v="50"/>
    <n v="80"/>
    <n v="50"/>
    <n v="5"/>
    <n v="-24"/>
  </r>
  <r>
    <n v="117728288"/>
    <x v="0"/>
    <s v="Almagreen SC/SD-156 156 л серый"/>
    <x v="20"/>
    <n v="156"/>
    <x v="11"/>
    <s v="серый"/>
    <x v="3"/>
    <n v="109990"/>
    <n v="1"/>
    <n v="1.2500000000000001E-2"/>
    <n v="109990"/>
    <n v="3.635360906659473E-3"/>
    <s v="C"/>
    <n v="2"/>
    <n v="4.79"/>
    <n v="22"/>
    <s v="Defrost"/>
    <n v="70"/>
    <n v="90"/>
    <n v="62"/>
    <n v="1"/>
    <n v="-18"/>
  </r>
  <r>
    <n v="123748471"/>
    <x v="0"/>
    <s v="Muxxed SD/SC-112B 112 л серебристый"/>
    <x v="3"/>
    <n v="112"/>
    <x v="11"/>
    <s v=" серебристый"/>
    <x v="3"/>
    <n v="89900"/>
    <n v="1"/>
    <n v="1.2500000000000001E-2"/>
    <n v="102796"/>
    <n v="3.3975866875258403E-3"/>
    <s v="C"/>
    <n v="1"/>
    <n v="5"/>
    <n v="0"/>
    <s v="ручное"/>
    <n v="66"/>
    <n v="82"/>
    <n v="48"/>
    <n v="2"/>
    <n v="-18"/>
  </r>
  <r>
    <n v="137444919"/>
    <x v="0"/>
    <s v="TIGER SD-700NL 700 л черный"/>
    <x v="0"/>
    <n v="700"/>
    <x v="3"/>
    <s v=" черный"/>
    <x v="4"/>
    <n v="377220"/>
    <n v="57"/>
    <n v="0.4453125"/>
    <n v="22003733"/>
    <n v="0.43884381719216842"/>
    <s v="A"/>
    <n v="3"/>
    <n v="5"/>
    <n v="56"/>
    <s v="Defrost"/>
    <n v="200"/>
    <n v="85"/>
    <n v="76"/>
    <n v="7"/>
    <n v="-24"/>
  </r>
  <r>
    <n v="100018121"/>
    <x v="1"/>
    <s v="Бирюса 680KXQ 600 л белый"/>
    <x v="1"/>
    <n v="600"/>
    <x v="1"/>
    <s v=" белый"/>
    <x v="4"/>
    <n v="291462"/>
    <n v="65"/>
    <n v="0.69148936170212771"/>
    <n v="18287865"/>
    <n v="0.67191116157830189"/>
    <s v="A"/>
    <n v="7"/>
    <n v="4.7"/>
    <n v="152"/>
    <s v="ручное"/>
    <n v="203.5"/>
    <n v="81"/>
    <n v="66.5"/>
    <n v="2"/>
    <n v="-18"/>
  </r>
  <r>
    <n v="140700154"/>
    <x v="0"/>
    <s v="SAMGA SC/SD-338S 338 л серый"/>
    <x v="32"/>
    <n v="338"/>
    <x v="5"/>
    <s v=" серый"/>
    <x v="4"/>
    <n v="224000"/>
    <n v="58"/>
    <n v="0.31351351351351353"/>
    <n v="11807326"/>
    <n v="0.28653517458870342"/>
    <s v="A"/>
    <n v="2"/>
    <n v="5"/>
    <n v="26"/>
    <s v="ручное"/>
    <n v="130"/>
    <n v="86"/>
    <n v="65"/>
    <n v="5"/>
    <n v="-25"/>
  </r>
  <r>
    <n v="121978941"/>
    <x v="0"/>
    <s v="AVANGARD SD/SC-268Y 268 л голубой"/>
    <x v="2"/>
    <n v="268"/>
    <x v="4"/>
    <s v=" голубой"/>
    <x v="4"/>
    <n v="180000"/>
    <n v="62"/>
    <n v="0.57943925233644855"/>
    <n v="10662725"/>
    <n v="0.52890668898948889"/>
    <s v="A"/>
    <n v="2"/>
    <n v="4.9000000000000004"/>
    <n v="69"/>
    <s v="ручное"/>
    <n v="109.5"/>
    <n v="85"/>
    <n v="60"/>
    <n v="3"/>
    <n v="-18"/>
  </r>
  <r>
    <n v="121978898"/>
    <x v="0"/>
    <s v="AVANGARD SD/SC 718 л серый"/>
    <x v="2"/>
    <n v="718"/>
    <x v="3"/>
    <s v=" серый"/>
    <x v="4"/>
    <n v="420000"/>
    <n v="25"/>
    <n v="0.1953125"/>
    <n v="10484291"/>
    <n v="0.20909935068715371"/>
    <s v="A"/>
    <n v="9"/>
    <n v="4.9000000000000004"/>
    <n v="137"/>
    <s v="ручное"/>
    <n v="200"/>
    <n v="86"/>
    <n v="75.7"/>
    <n v="6"/>
    <n v="-18"/>
  </r>
  <r>
    <n v="121978926"/>
    <x v="0"/>
    <s v="AVANGARD SD/SC 328 л белый"/>
    <x v="2"/>
    <n v="328"/>
    <x v="5"/>
    <s v=" белый"/>
    <x v="4"/>
    <n v="212900"/>
    <n v="41"/>
    <n v="0.22162162162162163"/>
    <n v="10451234"/>
    <n v="0.25362610965915511"/>
    <s v="A"/>
    <n v="4"/>
    <n v="4.9000000000000004"/>
    <n v="145"/>
    <s v="ручное"/>
    <n v="124"/>
    <n v="82.6"/>
    <n v="69.3"/>
    <n v="4"/>
    <n v="-18"/>
  </r>
  <r>
    <n v="137444929"/>
    <x v="0"/>
    <s v="TIGER SD-1000NL 1000 л черный"/>
    <x v="0"/>
    <n v="100"/>
    <x v="11"/>
    <s v=" черный"/>
    <x v="4"/>
    <n v="534315"/>
    <n v="18"/>
    <n v="0.24657534246575341"/>
    <n v="10084339"/>
    <n v="0.33440668833339582"/>
    <s v="A"/>
    <n v="3"/>
    <n v="4.9000000000000004"/>
    <n v="42"/>
    <s v="Defrost"/>
    <n v="250"/>
    <n v="85"/>
    <n v="76"/>
    <n v="9"/>
    <n v="-18"/>
  </r>
  <r>
    <n v="2800664"/>
    <x v="1"/>
    <s v="Бирюса 560KX 510 л белый"/>
    <x v="1"/>
    <n v="510"/>
    <x v="2"/>
    <s v=" белый"/>
    <x v="4"/>
    <n v="261335"/>
    <n v="29"/>
    <n v="0.27102803738317754"/>
    <n v="7516960"/>
    <n v="0.23026790098923824"/>
    <s v="A"/>
    <n v="17"/>
    <n v="4.8"/>
    <n v="197"/>
    <s v="ручное"/>
    <n v="179"/>
    <n v="81"/>
    <n v="66"/>
    <n v="2"/>
    <n v="-18"/>
  </r>
  <r>
    <n v="148881342"/>
    <x v="0"/>
    <s v="FROX SD-SC-1250BY 1250 л серый"/>
    <x v="17"/>
    <n v="125"/>
    <x v="11"/>
    <s v=" серый"/>
    <x v="4"/>
    <n v="556000"/>
    <n v="13"/>
    <n v="0.17808219178082191"/>
    <n v="7229127"/>
    <n v="0.23972502507219728"/>
    <s v="A"/>
    <n v="1"/>
    <n v="5"/>
    <n v="12"/>
    <s v="Defrost"/>
    <n v="250"/>
    <n v="84"/>
    <n v="75"/>
    <n v="9"/>
    <n v="-22"/>
  </r>
  <r>
    <n v="120039135"/>
    <x v="0"/>
    <s v="Almagreen SC/SD 280 л синий"/>
    <x v="20"/>
    <n v="280"/>
    <x v="4"/>
    <s v=" синий"/>
    <x v="4"/>
    <n v="179990"/>
    <n v="34"/>
    <n v="0.31775700934579437"/>
    <n v="5900213"/>
    <n v="0.2926702247467452"/>
    <s v="A"/>
    <n v="1"/>
    <n v="4.9000000000000004"/>
    <n v="21"/>
    <s v="Defrost"/>
    <n v="69"/>
    <n v="90"/>
    <n v="102"/>
    <n v="4"/>
    <n v="-24"/>
  </r>
  <r>
    <n v="156640750"/>
    <x v="0"/>
    <s v="SAMGA SC/SD 338 338 л мультиколор"/>
    <x v="32"/>
    <n v="338"/>
    <x v="5"/>
    <s v=" мультиколор"/>
    <x v="4"/>
    <n v="224000"/>
    <n v="26"/>
    <n v="0.14054054054054055"/>
    <n v="5709046"/>
    <n v="0.13854470456265364"/>
    <s v="A"/>
    <n v="2"/>
    <n v="5"/>
    <n v="7"/>
    <s v="ручное"/>
    <n v="128"/>
    <n v="83"/>
    <n v="60"/>
    <n v="5"/>
    <n v="-24"/>
  </r>
  <r>
    <n v="132115831"/>
    <x v="0"/>
    <s v="AVANGARD SD/SC-328Y (A1u) 328 л белый, серый"/>
    <x v="2"/>
    <n v="328"/>
    <x v="5"/>
    <s v=" белый, серый"/>
    <x v="4"/>
    <n v="229000"/>
    <n v="24"/>
    <n v="0.12972972972972974"/>
    <n v="5681494"/>
    <n v="0.13787608432380632"/>
    <s v="A"/>
    <n v="1"/>
    <n v="5"/>
    <n v="42"/>
    <s v="ручное"/>
    <n v="129"/>
    <n v="84.1"/>
    <n v="66"/>
    <n v="4"/>
    <n v="-18"/>
  </r>
  <r>
    <n v="140611570"/>
    <x v="1"/>
    <s v="OUCBOLL BD/BC-1680H 1600 л белый"/>
    <x v="8"/>
    <n v="1600"/>
    <x v="7"/>
    <s v="белый"/>
    <x v="4"/>
    <n v="729989"/>
    <n v="8"/>
    <n v="1"/>
    <n v="5665960"/>
    <n v="1"/>
    <s v="A"/>
    <n v="3"/>
    <n v="5"/>
    <n v="10"/>
    <s v="ручное"/>
    <n v="315"/>
    <n v="93"/>
    <n v="89"/>
    <n v="0"/>
    <n v="-18"/>
  </r>
  <r>
    <n v="121978911"/>
    <x v="0"/>
    <s v="AVANGARD SD/SC518 518 л серый"/>
    <x v="2"/>
    <n v="518"/>
    <x v="2"/>
    <s v=" серый"/>
    <x v="4"/>
    <n v="301000"/>
    <n v="14"/>
    <n v="0.13084112149532709"/>
    <n v="5048341"/>
    <n v="0.15464641098900514"/>
    <s v="A"/>
    <n v="10"/>
    <n v="4.9000000000000004"/>
    <n v="58"/>
    <s v="ручное"/>
    <n v="147.5"/>
    <n v="86"/>
    <n v="75.7"/>
    <n v="4"/>
    <n v="-18"/>
  </r>
  <r>
    <n v="121978785"/>
    <x v="0"/>
    <s v="AVANGARD CQS25L 1000 л серый"/>
    <x v="2"/>
    <n v="100"/>
    <x v="11"/>
    <s v=" серый"/>
    <x v="4"/>
    <n v="658000"/>
    <n v="6"/>
    <n v="8.2191780821917804E-2"/>
    <n v="4294732"/>
    <n v="0.14241757495453711"/>
    <s v="A"/>
    <n v="3"/>
    <n v="4.9000000000000004"/>
    <n v="31"/>
    <s v="ручное"/>
    <n v="254.5"/>
    <n v="86"/>
    <n v="89"/>
    <n v="5"/>
    <n v="0"/>
  </r>
  <r>
    <n v="137446425"/>
    <x v="0"/>
    <s v="TIGER SD-500NL 500 л черный, серый"/>
    <x v="0"/>
    <n v="500"/>
    <x v="2"/>
    <s v=" черный, серый"/>
    <x v="4"/>
    <n v="322765"/>
    <n v="12"/>
    <n v="0.11214953271028037"/>
    <n v="4008033"/>
    <n v="0.12277853627072641"/>
    <s v="A"/>
    <n v="3"/>
    <n v="4.9000000000000004"/>
    <n v="27"/>
    <s v="Defrost"/>
    <n v="150"/>
    <n v="85"/>
    <n v="76"/>
    <n v="5"/>
    <n v="-24"/>
  </r>
  <r>
    <n v="142526631"/>
    <x v="0"/>
    <s v="LUX 700 700 л серый"/>
    <x v="24"/>
    <n v="700"/>
    <x v="3"/>
    <s v=" серый"/>
    <x v="4"/>
    <n v="374999"/>
    <n v="9"/>
    <n v="7.03125E-2"/>
    <n v="3379547"/>
    <n v="6.7401895208433094E-2"/>
    <s v="A"/>
    <n v="1"/>
    <n v="5"/>
    <n v="3"/>
    <s v="Defrost"/>
    <n v="200"/>
    <n v="80"/>
    <n v="76"/>
    <n v="7"/>
    <n v="-24"/>
  </r>
  <r>
    <n v="141491976"/>
    <x v="3"/>
    <s v="Abat LIGHT ШОК-5-1/1 160 л серый"/>
    <x v="44"/>
    <n v="160"/>
    <x v="11"/>
    <s v="серый"/>
    <x v="4"/>
    <n v="1361011"/>
    <n v="2"/>
    <n v="2.7397260273972601E-2"/>
    <n v="2782691"/>
    <n v="9.2276794935706313E-2"/>
    <s v="A"/>
    <n v="2"/>
    <n v="0"/>
    <n v="0"/>
    <s v="No Frost"/>
    <n v="74.5"/>
    <n v="107.7"/>
    <n v="78.8"/>
    <n v="0"/>
    <n v="-35"/>
  </r>
  <r>
    <n v="117503828"/>
    <x v="0"/>
    <s v="MEISHIDIANQI LG-1000L 1000 л серый"/>
    <x v="6"/>
    <n v="1000"/>
    <x v="0"/>
    <s v="серый"/>
    <x v="4"/>
    <n v="528150"/>
    <n v="5"/>
    <n v="0.5"/>
    <n v="2666986"/>
    <n v="0.48534105806725875"/>
    <s v="A"/>
    <n v="1"/>
    <n v="4.8"/>
    <n v="6"/>
    <s v="No Frost"/>
    <n v="200"/>
    <n v="85"/>
    <n v="75"/>
    <n v="9"/>
    <n v="-18"/>
  </r>
  <r>
    <n v="141583677"/>
    <x v="1"/>
    <s v="ORION BD 660S 660 л серый"/>
    <x v="4"/>
    <n v="660"/>
    <x v="1"/>
    <s v=" серый"/>
    <x v="4"/>
    <n v="279900"/>
    <n v="9"/>
    <n v="9.5744680851063829E-2"/>
    <n v="2481491"/>
    <n v="9.1172014899284406E-2"/>
    <s v="A"/>
    <n v="2"/>
    <n v="4.5999999999999996"/>
    <n v="14"/>
    <s v="ручное"/>
    <n v="180"/>
    <n v="84"/>
    <n v="67.400000000000006"/>
    <n v="2"/>
    <n v="-24"/>
  </r>
  <r>
    <n v="119915136"/>
    <x v="2"/>
    <s v="Polair CB-114S 1400 л белый"/>
    <x v="11"/>
    <n v="1400"/>
    <x v="9"/>
    <s v="белый"/>
    <x v="4"/>
    <n v="1299000"/>
    <n v="2"/>
    <n v="0.5"/>
    <n v="2419400"/>
    <n v="0.52227786892323635"/>
    <s v="B"/>
    <n v="3"/>
    <n v="5"/>
    <n v="1"/>
    <s v="ручное"/>
    <n v="147.4"/>
    <n v="199.6"/>
    <n v="96"/>
    <n v="0"/>
    <n v="-18"/>
  </r>
  <r>
    <n v="142956771"/>
    <x v="1"/>
    <s v="AVANGARD BD/BC-798 718 л белый"/>
    <x v="2"/>
    <n v="718"/>
    <x v="3"/>
    <s v=" белый"/>
    <x v="4"/>
    <n v="399990"/>
    <n v="6"/>
    <n v="4.6875E-2"/>
    <n v="2399940"/>
    <n v="4.7864552375370704E-2"/>
    <s v="A"/>
    <n v="2"/>
    <n v="4.9000000000000004"/>
    <n v="10"/>
    <s v="Defrost"/>
    <n v="197"/>
    <n v="86.4"/>
    <n v="93.5"/>
    <n v="0"/>
    <n v="-35"/>
  </r>
  <r>
    <n v="106635013"/>
    <x v="1"/>
    <s v="МОРОЗ BC/BD 850L 850 л белый-синий"/>
    <x v="33"/>
    <n v="850"/>
    <x v="8"/>
    <s v=" белый-синий"/>
    <x v="4"/>
    <n v="382475"/>
    <n v="6"/>
    <n v="0.35294117647058826"/>
    <n v="2370109"/>
    <n v="0.29314623465412931"/>
    <s v="A"/>
    <n v="4"/>
    <n v="4.8"/>
    <n v="15"/>
    <s v="ручное"/>
    <n v="200.1"/>
    <n v="87"/>
    <n v="85.5"/>
    <n v="0"/>
    <n v="-18"/>
  </r>
  <r>
    <n v="145109215"/>
    <x v="0"/>
    <s v="BL18 1240 л темно-синий"/>
    <x v="5"/>
    <n v="1240"/>
    <x v="6"/>
    <s v=" темно-синий"/>
    <x v="4"/>
    <n v="554830"/>
    <n v="4"/>
    <n v="0.5"/>
    <n v="2199883"/>
    <n v="0.47652894319971112"/>
    <s v="A"/>
    <n v="3"/>
    <n v="4.9000000000000004"/>
    <n v="3"/>
    <s v="Defrost"/>
    <n v="250"/>
    <n v="80"/>
    <n v="76"/>
    <n v="9"/>
    <n v="-25"/>
  </r>
  <r>
    <n v="124524012"/>
    <x v="3"/>
    <s v="Friggier SDD-H6 120 л серебристый"/>
    <x v="9"/>
    <n v="120"/>
    <x v="11"/>
    <s v=" серебристый"/>
    <x v="4"/>
    <n v="1999990"/>
    <n v="1"/>
    <n v="1.3698630136986301E-2"/>
    <n v="2127707"/>
    <n v="7.0556875528855645E-2"/>
    <s v="A"/>
    <n v="1"/>
    <n v="5"/>
    <n v="1"/>
    <s v="ручное"/>
    <n v="80"/>
    <n v="120"/>
    <n v="82"/>
    <n v="0"/>
    <n v="-40"/>
  </r>
  <r>
    <n v="110555379"/>
    <x v="0"/>
    <s v="FROSTOR F 800 C 800 л белый-серый"/>
    <x v="18"/>
    <n v="800"/>
    <x v="8"/>
    <s v=" белый-серый"/>
    <x v="4"/>
    <n v="530000"/>
    <n v="4"/>
    <n v="0.23529411764705882"/>
    <n v="2120000"/>
    <n v="0.2622115765421566"/>
    <s v="A"/>
    <n v="1"/>
    <n v="4.8"/>
    <n v="41"/>
    <s v="ручное"/>
    <n v="200"/>
    <n v="84"/>
    <n v="60"/>
    <n v="9"/>
    <n v="-22"/>
  </r>
  <r>
    <n v="143487775"/>
    <x v="1"/>
    <s v="Friggier BC/BD 1250 1250 л белый"/>
    <x v="9"/>
    <n v="1250"/>
    <x v="6"/>
    <s v=" белый"/>
    <x v="4"/>
    <n v="672200"/>
    <n v="3"/>
    <n v="0.375"/>
    <n v="2016600"/>
    <n v="0.43682698891556387"/>
    <s v="A"/>
    <n v="2"/>
    <n v="5"/>
    <n v="1"/>
    <s v="ручное"/>
    <n v="250"/>
    <n v="80"/>
    <n v="90"/>
    <n v="3"/>
    <n v="-18"/>
  </r>
  <r>
    <n v="116138932"/>
    <x v="0"/>
    <s v="SAMGA SC/SD-338 338 л серебристый"/>
    <x v="32"/>
    <n v="338"/>
    <x v="5"/>
    <s v=" серебристый"/>
    <x v="4"/>
    <n v="224000"/>
    <n v="10"/>
    <n v="5.4054054054054057E-2"/>
    <n v="1993709"/>
    <n v="4.8382483586382669E-2"/>
    <s v="A"/>
    <n v="2"/>
    <n v="4.9000000000000004"/>
    <n v="82"/>
    <s v="ручное"/>
    <n v="130"/>
    <n v="85"/>
    <n v="65"/>
    <n v="5"/>
    <n v="-24"/>
  </r>
  <r>
    <n v="148808069"/>
    <x v="0"/>
    <s v="Aucma SD-420 420 л белый"/>
    <x v="14"/>
    <n v="420"/>
    <x v="12"/>
    <s v=" белый"/>
    <x v="4"/>
    <n v="224998"/>
    <n v="8"/>
    <n v="0.22222222222222221"/>
    <n v="1988984"/>
    <n v="0.22088537433875449"/>
    <s v="A"/>
    <n v="6"/>
    <n v="5"/>
    <n v="13"/>
    <s v="Defrost"/>
    <n v="139.30000000000001"/>
    <n v="89"/>
    <n v="77.599999999999994"/>
    <n v="6"/>
    <n v="0"/>
  </r>
  <r>
    <n v="117503807"/>
    <x v="0"/>
    <s v="MEISHIDIANQI LG-700L 700 л серый"/>
    <x v="6"/>
    <n v="700"/>
    <x v="3"/>
    <s v=" серый"/>
    <x v="4"/>
    <n v="393010"/>
    <n v="5"/>
    <n v="3.90625E-2"/>
    <n v="1969693"/>
    <n v="3.9283679492779423E-2"/>
    <s v="A"/>
    <n v="3"/>
    <n v="4.9000000000000004"/>
    <n v="8"/>
    <s v="No Frost"/>
    <n v="200"/>
    <n v="85"/>
    <n v="75"/>
    <n v="7"/>
    <n v="-24"/>
  </r>
  <r>
    <n v="153608532"/>
    <x v="1"/>
    <s v="Platinium PLM-720S 720 л серый"/>
    <x v="19"/>
    <n v="720"/>
    <x v="3"/>
    <s v=" серый"/>
    <x v="4"/>
    <n v="278000"/>
    <n v="7"/>
    <n v="5.46875E-2"/>
    <n v="1915228"/>
    <n v="3.8197426150977307E-2"/>
    <s v="A"/>
    <n v="2"/>
    <n v="5"/>
    <n v="1"/>
    <s v="Defrost"/>
    <n v="180"/>
    <n v="80.599999999999994"/>
    <n v="71"/>
    <n v="0"/>
    <n v="-18"/>
  </r>
  <r>
    <n v="102055246"/>
    <x v="2"/>
    <s v="Polair CB107-S 700 л белый"/>
    <x v="11"/>
    <n v="700"/>
    <x v="3"/>
    <s v=" белый"/>
    <x v="4"/>
    <n v="598900"/>
    <n v="3"/>
    <n v="2.34375E-2"/>
    <n v="1898460"/>
    <n v="3.7863004117830557E-2"/>
    <s v="A"/>
    <n v="3"/>
    <n v="5"/>
    <n v="6"/>
    <s v="ручное"/>
    <n v="73"/>
    <n v="199"/>
    <n v="96"/>
    <n v="0"/>
    <n v="-18"/>
  </r>
  <r>
    <n v="100021583"/>
    <x v="0"/>
    <s v="Снеж МЛП-600 518 л синий"/>
    <x v="35"/>
    <n v="518"/>
    <x v="2"/>
    <s v="белый"/>
    <x v="4"/>
    <n v="600000"/>
    <n v="3"/>
    <n v="2.8037383177570093E-2"/>
    <n v="1840562"/>
    <n v="5.6382147620920468E-2"/>
    <s v="B"/>
    <n v="1"/>
    <n v="5"/>
    <n v="3"/>
    <s v="ручное"/>
    <n v="160"/>
    <n v="83"/>
    <n v="64"/>
    <n v="6"/>
    <n v="0"/>
  </r>
  <r>
    <n v="117232074"/>
    <x v="0"/>
    <s v="Бирюса CF41 410 л белый"/>
    <x v="1"/>
    <n v="410"/>
    <x v="12"/>
    <s v=" белый"/>
    <x v="4"/>
    <n v="262188"/>
    <n v="7"/>
    <n v="0.19444444444444445"/>
    <n v="1802102"/>
    <n v="0.20013131069260393"/>
    <s v="A"/>
    <n v="4"/>
    <n v="5"/>
    <n v="55"/>
    <s v="ручное"/>
    <n v="132"/>
    <n v="88.5"/>
    <n v="66.5"/>
    <n v="5"/>
    <n v="-25"/>
  </r>
  <r>
    <n v="132088486"/>
    <x v="0"/>
    <s v="Бирюса CF68 680 л белый"/>
    <x v="1"/>
    <n v="680"/>
    <x v="1"/>
    <s v=" белый"/>
    <x v="4"/>
    <n v="365940"/>
    <n v="5"/>
    <n v="5.3191489361702128E-2"/>
    <n v="1763732"/>
    <n v="6.480096046382787E-2"/>
    <s v="A"/>
    <n v="3"/>
    <n v="5"/>
    <n v="18"/>
    <s v="ручное"/>
    <n v="202.5"/>
    <n v="88.5"/>
    <n v="66.5"/>
    <n v="6"/>
    <n v="-25"/>
  </r>
  <r>
    <n v="120309401"/>
    <x v="1"/>
    <s v="AVANGARD AF-550 WHITE 550 л белый"/>
    <x v="2"/>
    <n v="550"/>
    <x v="2"/>
    <s v=" белый"/>
    <x v="4"/>
    <n v="269990"/>
    <n v="6"/>
    <n v="5.6074766355140186E-2"/>
    <n v="1701728"/>
    <n v="5.2129229717148215E-2"/>
    <s v="A"/>
    <n v="3"/>
    <n v="5"/>
    <n v="53"/>
    <s v="ручное"/>
    <n v="165"/>
    <n v="83.5"/>
    <n v="73"/>
    <n v="2"/>
    <n v="-18"/>
  </r>
  <r>
    <n v="113954312"/>
    <x v="1"/>
    <s v="Haier HCE520RF 516 л белый"/>
    <x v="7"/>
    <n v="516"/>
    <x v="2"/>
    <s v=" белый"/>
    <x v="4"/>
    <n v="369990"/>
    <n v="5"/>
    <n v="4.6728971962616821E-2"/>
    <n v="1676772"/>
    <n v="5.1364749696356904E-2"/>
    <s v="A"/>
    <n v="3"/>
    <n v="5"/>
    <n v="34"/>
    <s v="ручное"/>
    <n v="165"/>
    <n v="84.5"/>
    <n v="74.5"/>
    <n v="0"/>
    <n v="-29"/>
  </r>
  <r>
    <n v="152779172"/>
    <x v="3"/>
    <s v="Abat Light ШОК-10-1/1 240 л серый"/>
    <x v="44"/>
    <n v="240"/>
    <x v="4"/>
    <s v="серый"/>
    <x v="4"/>
    <n v="1900000"/>
    <n v="1"/>
    <n v="9.3457943925233638E-3"/>
    <n v="1639706"/>
    <n v="8.1334881221845151E-2"/>
    <s v="B"/>
    <n v="1"/>
    <n v="0"/>
    <n v="0"/>
    <s v="ручное"/>
    <n v="75"/>
    <n v="143"/>
    <n v="90"/>
    <n v="0"/>
    <n v="-35"/>
  </r>
  <r>
    <n v="121978807"/>
    <x v="0"/>
    <s v="AVANGARD CQS21L 900 л серый"/>
    <x v="2"/>
    <n v="900"/>
    <x v="10"/>
    <s v=" серый"/>
    <x v="4"/>
    <n v="519085"/>
    <n v="3"/>
    <n v="1"/>
    <n v="1620247"/>
    <n v="1"/>
    <s v="A"/>
    <n v="6"/>
    <n v="4.8"/>
    <n v="13"/>
    <s v="ручное"/>
    <n v="214.5"/>
    <n v="86"/>
    <n v="89"/>
    <n v="6"/>
    <n v="-18"/>
  </r>
  <r>
    <n v="143080837"/>
    <x v="1"/>
    <s v="AVANGARD BC/BD-2380 1800 л белый"/>
    <x v="2"/>
    <n v="1800"/>
    <x v="17"/>
    <s v=" белый"/>
    <x v="4"/>
    <n v="839000"/>
    <n v="2"/>
    <n v="1"/>
    <n v="1554479"/>
    <n v="1"/>
    <s v="B"/>
    <n v="1"/>
    <n v="5"/>
    <n v="7"/>
    <s v="ручное"/>
    <n v="380.8"/>
    <n v="93"/>
    <n v="100"/>
    <n v="0"/>
    <n v="-35"/>
  </r>
  <r>
    <n v="162695715"/>
    <x v="1"/>
    <s v="Rebus RIF-550S 550 л серый"/>
    <x v="22"/>
    <n v="550"/>
    <x v="2"/>
    <s v="серый"/>
    <x v="4"/>
    <n v="219985"/>
    <n v="8"/>
    <n v="7.476635514018691E-2"/>
    <n v="1517864"/>
    <n v="4.6496902639781124E-2"/>
    <s v="B"/>
    <n v="2"/>
    <n v="5"/>
    <n v="0"/>
    <s v="Defrost"/>
    <n v="153.5"/>
    <n v="82.5"/>
    <n v="74"/>
    <n v="0"/>
    <n v="-18"/>
  </r>
  <r>
    <n v="154651758"/>
    <x v="1"/>
    <s v="ORION BD-660 660 л серебристый"/>
    <x v="4"/>
    <n v="660"/>
    <x v="1"/>
    <s v=" серебристый"/>
    <x v="4"/>
    <n v="600000"/>
    <n v="6"/>
    <n v="6.3829787234042548E-2"/>
    <n v="1515478"/>
    <n v="5.5679904861850288E-2"/>
    <s v="A"/>
    <n v="1"/>
    <n v="5"/>
    <n v="2"/>
    <s v="ручное"/>
    <n v="180"/>
    <n v="84"/>
    <n v="67.400000000000006"/>
    <n v="2"/>
    <n v="-24"/>
  </r>
  <r>
    <n v="135246793"/>
    <x v="0"/>
    <s v="Friggier J SD365BY 365 л серый"/>
    <x v="9"/>
    <n v="365"/>
    <x v="5"/>
    <s v=" серый"/>
    <x v="4"/>
    <n v="217800"/>
    <n v="7"/>
    <n v="3.783783783783784E-2"/>
    <n v="1501200"/>
    <n v="3.6430484268204465E-2"/>
    <s v="B"/>
    <n v="6"/>
    <n v="5"/>
    <n v="9"/>
    <s v="ручное"/>
    <n v="128"/>
    <n v="91"/>
    <n v="65"/>
    <n v="3"/>
    <n v="-20"/>
  </r>
  <r>
    <n v="143852360"/>
    <x v="0"/>
    <s v="AOLIEGE SD/SC-105Y 105 л белый"/>
    <x v="25"/>
    <n v="105"/>
    <x v="11"/>
    <s v=" белый"/>
    <x v="4"/>
    <n v="555555"/>
    <n v="16"/>
    <n v="0.21917808219178081"/>
    <n v="1460361"/>
    <n v="4.8427019934697384E-2"/>
    <s v="A"/>
    <n v="1"/>
    <n v="4.7"/>
    <n v="9"/>
    <s v="ручное"/>
    <n v="58"/>
    <n v="78"/>
    <n v="63"/>
    <n v="2"/>
    <n v="-18"/>
  </r>
  <r>
    <n v="140308862"/>
    <x v="0"/>
    <s v="Platinium PLSD-450 420 л белый"/>
    <x v="19"/>
    <n v="420"/>
    <x v="12"/>
    <s v=" белый"/>
    <x v="4"/>
    <n v="224000"/>
    <n v="6"/>
    <n v="0.16666666666666666"/>
    <n v="1388522"/>
    <n v="0.15420144241863989"/>
    <s v="A"/>
    <n v="4"/>
    <n v="5"/>
    <n v="10"/>
    <s v="Defrost"/>
    <n v="131"/>
    <n v="83"/>
    <n v="69"/>
    <n v="6"/>
    <n v="-18"/>
  </r>
  <r>
    <n v="140081934"/>
    <x v="0"/>
    <s v="Platinium PLSD-570 445 л белый"/>
    <x v="19"/>
    <n v="445"/>
    <x v="12"/>
    <s v=" белый"/>
    <x v="4"/>
    <n v="285979"/>
    <n v="5"/>
    <n v="0.1388888888888889"/>
    <n v="1386585"/>
    <n v="0.15398633009491372"/>
    <s v="B"/>
    <n v="7"/>
    <n v="5"/>
    <n v="2"/>
    <s v="ручное"/>
    <n v="153"/>
    <n v="85"/>
    <n v="68"/>
    <n v="5"/>
    <n v="-18"/>
  </r>
  <r>
    <n v="145145984"/>
    <x v="1"/>
    <s v="AVANGARD BD/BC-1080 1080 л белый"/>
    <x v="2"/>
    <n v="1080"/>
    <x v="0"/>
    <s v=" белый"/>
    <x v="4"/>
    <n v="458990"/>
    <n v="3"/>
    <n v="0.3"/>
    <n v="1329021"/>
    <n v="0.24185670953413566"/>
    <s v="A"/>
    <n v="2"/>
    <n v="5"/>
    <n v="8"/>
    <s v="ручное"/>
    <n v="260"/>
    <n v="93.5"/>
    <n v="86.4"/>
    <n v="1"/>
    <n v="-35"/>
  </r>
  <r>
    <n v="122939001"/>
    <x v="0"/>
    <s v="Бирюса CF59 590 л белый"/>
    <x v="1"/>
    <n v="590"/>
    <x v="2"/>
    <s v=" белый"/>
    <x v="4"/>
    <n v="385331"/>
    <n v="4"/>
    <n v="3.7383177570093455E-2"/>
    <n v="1325274"/>
    <n v="4.0597270999927063E-2"/>
    <s v="A"/>
    <n v="2"/>
    <n v="5"/>
    <n v="10"/>
    <s v="ручное"/>
    <n v="179"/>
    <n v="88.5"/>
    <n v="66.5"/>
    <n v="5"/>
    <n v="-25"/>
  </r>
  <r>
    <n v="116903955"/>
    <x v="1"/>
    <s v="AVANGARD AF-750 750 л белый"/>
    <x v="2"/>
    <n v="750"/>
    <x v="3"/>
    <s v=" белый"/>
    <x v="4"/>
    <n v="309990"/>
    <n v="4"/>
    <n v="3.125E-2"/>
    <n v="1269303"/>
    <n v="2.5315057844660767E-2"/>
    <s v="A"/>
    <n v="3"/>
    <n v="4.9000000000000004"/>
    <n v="25"/>
    <s v="Defrost"/>
    <n v="188"/>
    <n v="95.2"/>
    <n v="73.5"/>
    <n v="1"/>
    <n v="-18"/>
  </r>
  <r>
    <n v="118087013"/>
    <x v="0"/>
    <s v="Бирюса CF50 500 л белый"/>
    <x v="1"/>
    <n v="500"/>
    <x v="2"/>
    <s v=" белый"/>
    <x v="4"/>
    <n v="341553"/>
    <n v="4"/>
    <n v="3.7383177570093455E-2"/>
    <n v="1208608"/>
    <n v="3.7023427992007578E-2"/>
    <s v="A"/>
    <n v="3"/>
    <n v="5"/>
    <n v="13"/>
    <s v="ручное"/>
    <n v="155.5"/>
    <n v="88.5"/>
    <n v="66.5"/>
    <n v="6"/>
    <n v="-25"/>
  </r>
  <r>
    <n v="122620734"/>
    <x v="0"/>
    <s v="Friggier J SD-730B 730 л серый"/>
    <x v="9"/>
    <n v="730"/>
    <x v="3"/>
    <s v="серый"/>
    <x v="4"/>
    <n v="999999"/>
    <n v="3"/>
    <n v="2.34375E-2"/>
    <n v="1153204"/>
    <n v="2.2999572179924078E-2"/>
    <s v="B"/>
    <n v="1"/>
    <n v="4.5999999999999996"/>
    <n v="2"/>
    <s v="No Frost"/>
    <n v="190"/>
    <n v="94"/>
    <n v="83"/>
    <n v="6"/>
    <n v="-20"/>
  </r>
  <r>
    <n v="114694121"/>
    <x v="2"/>
    <s v="Ариада Rapsodiya R1400LS 1400 л черный, белый"/>
    <x v="10"/>
    <n v="1400"/>
    <x v="9"/>
    <s v=" черный, белый"/>
    <x v="4"/>
    <n v="1120000"/>
    <n v="1"/>
    <n v="0.25"/>
    <n v="1120000"/>
    <n v="0.24177532164752613"/>
    <s v="A"/>
    <n v="1"/>
    <n v="4.33"/>
    <n v="5"/>
    <s v="ручное"/>
    <n v="160"/>
    <n v="198"/>
    <n v="72.5"/>
    <n v="0"/>
    <n v="-18"/>
  </r>
  <r>
    <n v="117689613"/>
    <x v="0"/>
    <s v="Бирюса CF32 320 л белый"/>
    <x v="1"/>
    <n v="320"/>
    <x v="5"/>
    <s v=" белый"/>
    <x v="4"/>
    <n v="254896"/>
    <n v="5"/>
    <n v="2.7027027027027029E-2"/>
    <n v="1118443"/>
    <n v="2.7141899891009465E-2"/>
    <s v="B"/>
    <n v="3"/>
    <n v="4.8"/>
    <n v="16"/>
    <s v="ручное"/>
    <n v="108.5"/>
    <n v="88.5"/>
    <n v="66.5"/>
    <n v="4"/>
    <n v="-25"/>
  </r>
  <r>
    <n v="119264283"/>
    <x v="0"/>
    <s v="Muxxed SD/SC-105Y 105 л белый"/>
    <x v="3"/>
    <n v="105"/>
    <x v="11"/>
    <s v=" белый"/>
    <x v="4"/>
    <n v="86700"/>
    <n v="12"/>
    <n v="0.16438356164383561"/>
    <n v="1116017"/>
    <n v="3.7008231188357651E-2"/>
    <s v="B"/>
    <n v="1"/>
    <n v="4.9000000000000004"/>
    <n v="17"/>
    <s v="ручное"/>
    <n v="60"/>
    <n v="80"/>
    <n v="55"/>
    <n v="1"/>
    <n v="-18"/>
  </r>
  <r>
    <n v="145145986"/>
    <x v="1"/>
    <s v="AVANGARD BD/BC-1380 1380 л белый"/>
    <x v="2"/>
    <n v="1380"/>
    <x v="13"/>
    <s v="белый"/>
    <x v="4"/>
    <n v="529990"/>
    <n v="2"/>
    <n v="0.66666666666666663"/>
    <n v="1102966"/>
    <n v="0.6304766847908102"/>
    <s v="B"/>
    <n v="2"/>
    <n v="4.8"/>
    <n v="4"/>
    <s v="ручное"/>
    <n v="260"/>
    <n v="93.5"/>
    <n v="100"/>
    <n v="1"/>
    <n v="-35"/>
  </r>
  <r>
    <n v="112338190"/>
    <x v="2"/>
    <s v="Ариада Рапсодия R1400L 1400 л серый"/>
    <x v="10"/>
    <n v="1400"/>
    <x v="9"/>
    <s v="серый"/>
    <x v="4"/>
    <n v="1097500"/>
    <n v="1"/>
    <n v="0.25"/>
    <n v="1093000"/>
    <n v="0.23594680942923754"/>
    <s v="B"/>
    <n v="2"/>
    <n v="5"/>
    <n v="1"/>
    <s v="No Frost"/>
    <n v="160"/>
    <n v="198"/>
    <n v="72.5"/>
    <n v="0"/>
    <n v="-18"/>
  </r>
  <r>
    <n v="152415627"/>
    <x v="0"/>
    <s v="ARTICA 250 HT/CT 1030 л серый"/>
    <x v="5"/>
    <n v="1030"/>
    <x v="0"/>
    <s v="серый"/>
    <x v="4"/>
    <n v="880000"/>
    <n v="1"/>
    <n v="0.1"/>
    <n v="1039258"/>
    <n v="0.1891253187399046"/>
    <s v="B"/>
    <n v="1"/>
    <n v="5"/>
    <n v="0"/>
    <s v="ручное"/>
    <n v="252"/>
    <n v="94"/>
    <n v="95"/>
    <n v="0"/>
    <n v="-24"/>
  </r>
  <r>
    <n v="145169183"/>
    <x v="1"/>
    <s v="SABA HD-700 700 л белый"/>
    <x v="29"/>
    <n v="700"/>
    <x v="3"/>
    <s v=" белый"/>
    <x v="4"/>
    <n v="309900"/>
    <n v="3"/>
    <n v="2.34375E-2"/>
    <n v="945250"/>
    <n v="1.8852124691791945E-2"/>
    <s v="A"/>
    <n v="5"/>
    <n v="5"/>
    <n v="4"/>
    <s v="ручное"/>
    <n v="203"/>
    <n v="91"/>
    <n v="76"/>
    <n v="3"/>
    <n v="-18"/>
  </r>
  <r>
    <n v="141167073"/>
    <x v="1"/>
    <s v="Hansa FS5021.3W 502 л белый"/>
    <x v="23"/>
    <n v="502"/>
    <x v="2"/>
    <s v=" белый"/>
    <x v="4"/>
    <n v="319982"/>
    <n v="3"/>
    <n v="2.8037383177570093E-2"/>
    <n v="929970"/>
    <n v="2.8487878062802237E-2"/>
    <s v="B"/>
    <n v="5"/>
    <n v="4.8"/>
    <n v="12"/>
    <s v="ручное"/>
    <n v="155"/>
    <n v="89"/>
    <n v="77"/>
    <n v="4"/>
    <n v="0"/>
  </r>
  <r>
    <n v="113187274"/>
    <x v="0"/>
    <s v="FROSTOR F 600 C 600 л серый-белый"/>
    <x v="18"/>
    <n v="600"/>
    <x v="1"/>
    <s v="белый"/>
    <x v="4"/>
    <n v="440000"/>
    <n v="2"/>
    <n v="2.1276595744680851E-2"/>
    <n v="880000"/>
    <n v="3.2331921861239989E-2"/>
    <s v="B"/>
    <n v="1"/>
    <n v="4.5999999999999996"/>
    <n v="27"/>
    <s v="ручное"/>
    <n v="160"/>
    <n v="84"/>
    <n v="60"/>
    <n v="7"/>
    <n v="-22"/>
  </r>
  <r>
    <n v="122074021"/>
    <x v="0"/>
    <s v="Friggier J SD/SC 366SY 366 л серый"/>
    <x v="9"/>
    <n v="366"/>
    <x v="5"/>
    <s v=" серый"/>
    <x v="4"/>
    <n v="217800"/>
    <n v="4"/>
    <n v="2.1621621621621623E-2"/>
    <n v="865600"/>
    <n v="2.1006013311056348E-2"/>
    <s v="B"/>
    <n v="4"/>
    <n v="5"/>
    <n v="4"/>
    <s v="Defrost"/>
    <n v="139"/>
    <n v="100"/>
    <n v="72"/>
    <n v="4"/>
    <n v="-18"/>
  </r>
  <r>
    <n v="133958993"/>
    <x v="0"/>
    <s v="Haier GTS2500GB 800 л серый"/>
    <x v="7"/>
    <n v="800"/>
    <x v="8"/>
    <s v=" серый"/>
    <x v="4"/>
    <n v="693240"/>
    <n v="1"/>
    <n v="5.8823529411764705E-2"/>
    <n v="864654"/>
    <n v="0.10694447570918955"/>
    <s v="A"/>
    <n v="2"/>
    <n v="5"/>
    <n v="0"/>
    <s v="No Frost"/>
    <n v="250"/>
    <n v="81"/>
    <n v="86"/>
    <n v="0"/>
    <n v="0"/>
  </r>
  <r>
    <n v="162467614"/>
    <x v="0"/>
    <s v="Friggier SD/SC-728BY 669 л белый"/>
    <x v="9"/>
    <n v="669"/>
    <x v="1"/>
    <s v="белый"/>
    <x v="4"/>
    <n v="398900"/>
    <n v="2"/>
    <n v="2.1276595744680851E-2"/>
    <n v="852581"/>
    <n v="3.1324525309520283E-2"/>
    <s v="B"/>
    <n v="1"/>
    <n v="0"/>
    <n v="0"/>
    <s v="ручное"/>
    <n v="200"/>
    <n v="84"/>
    <n v="67"/>
    <n v="7"/>
    <n v="-26"/>
  </r>
  <r>
    <n v="122652103"/>
    <x v="1"/>
    <s v="Leadbros J BC/BD 1700 1700 л белый"/>
    <x v="13"/>
    <n v="1700"/>
    <x v="16"/>
    <s v=" белый"/>
    <x v="4"/>
    <n v="850400"/>
    <n v="1"/>
    <n v="1"/>
    <n v="850400"/>
    <n v="1"/>
    <s v="A"/>
    <n v="2"/>
    <n v="5"/>
    <n v="1"/>
    <s v="ручное"/>
    <n v="265"/>
    <n v="90"/>
    <n v="110"/>
    <n v="2"/>
    <n v="-18"/>
  </r>
  <r>
    <n v="140330902"/>
    <x v="0"/>
    <s v="Platinium PLSD-350 330 л белый"/>
    <x v="19"/>
    <n v="330"/>
    <x v="5"/>
    <s v=" белый"/>
    <x v="4"/>
    <n v="201980"/>
    <n v="4"/>
    <n v="2.1621621621621623E-2"/>
    <n v="842253"/>
    <n v="2.0439438226983759E-2"/>
    <s v="B"/>
    <n v="4"/>
    <n v="4.8"/>
    <n v="4"/>
    <s v="Defrost"/>
    <n v="122.4"/>
    <n v="82"/>
    <n v="65.400000000000006"/>
    <n v="6"/>
    <n v="0"/>
  </r>
  <r>
    <n v="142298659"/>
    <x v="0"/>
    <s v="LUX 700 л серый"/>
    <x v="24"/>
    <n v="700"/>
    <x v="3"/>
    <s v=" серый"/>
    <x v="4"/>
    <n v="381468"/>
    <n v="2"/>
    <n v="1.5625E-2"/>
    <n v="777780"/>
    <n v="1.5512092613363594E-2"/>
    <s v="B"/>
    <n v="1"/>
    <n v="5"/>
    <n v="0"/>
    <s v="Defrost"/>
    <n v="200"/>
    <n v="80"/>
    <n v="76"/>
    <n v="7"/>
    <n v="-24"/>
  </r>
  <r>
    <n v="108699680"/>
    <x v="1"/>
    <s v="XINGX XF-850 850 л белый"/>
    <x v="26"/>
    <n v="850"/>
    <x v="8"/>
    <s v=" белый"/>
    <x v="4"/>
    <n v="379345"/>
    <n v="2"/>
    <n v="0.11764705882352941"/>
    <n v="777480"/>
    <n v="9.6162385155658434E-2"/>
    <s v="A"/>
    <n v="3"/>
    <n v="4.9000000000000004"/>
    <n v="4"/>
    <s v="ручное"/>
    <n v="201"/>
    <n v="78"/>
    <n v="85"/>
    <n v="1"/>
    <n v="0"/>
  </r>
  <r>
    <n v="157686240"/>
    <x v="1"/>
    <s v="МОРОЗ BC/BD 850 850 л белый, черный"/>
    <x v="33"/>
    <n v="850"/>
    <x v="8"/>
    <s v=" белый, черный"/>
    <x v="4"/>
    <n v="383435"/>
    <n v="2"/>
    <n v="0.11764705882352941"/>
    <n v="767780"/>
    <n v="9.496264350827216E-2"/>
    <s v="A"/>
    <n v="2"/>
    <n v="5"/>
    <n v="0"/>
    <s v="ручное"/>
    <n v="200"/>
    <n v="87"/>
    <n v="85.5"/>
    <n v="3"/>
    <n v="-18"/>
  </r>
  <r>
    <n v="129607134"/>
    <x v="0"/>
    <s v="Friggier J SD/SC246SY 246 л серый"/>
    <x v="9"/>
    <n v="246"/>
    <x v="4"/>
    <s v=" серый"/>
    <x v="4"/>
    <n v="183200"/>
    <n v="4"/>
    <n v="3.7383177570093455E-2"/>
    <n v="743465"/>
    <n v="3.6878341280448507E-2"/>
    <s v="B"/>
    <n v="7"/>
    <n v="5"/>
    <n v="2"/>
    <s v="ручное"/>
    <n v="103.3"/>
    <n v="91"/>
    <n v="62"/>
    <n v="3"/>
    <n v="-36"/>
  </r>
  <r>
    <n v="112587145"/>
    <x v="0"/>
    <s v="Haier GTS2500G 741 л серый"/>
    <x v="7"/>
    <n v="741"/>
    <x v="3"/>
    <s v=" серый"/>
    <x v="4"/>
    <n v="914170"/>
    <n v="1"/>
    <n v="7.8125E-3"/>
    <n v="724330"/>
    <n v="1.444608249458414E-2"/>
    <s v="A"/>
    <n v="2"/>
    <n v="5"/>
    <n v="0"/>
    <s v="No Frost"/>
    <n v="250.4"/>
    <n v="81"/>
    <n v="86.4"/>
    <n v="0"/>
    <n v="-24"/>
  </r>
  <r>
    <n v="141950186"/>
    <x v="2"/>
    <s v="Foodsense FRX-F-4 870 л стальной"/>
    <x v="21"/>
    <n v="870"/>
    <x v="8"/>
    <s v="стальной"/>
    <x v="4"/>
    <n v="600000"/>
    <n v="1"/>
    <n v="5.8823529411764705E-2"/>
    <n v="707061"/>
    <n v="8.7452631849751772E-2"/>
    <s v="C"/>
    <n v="1"/>
    <n v="5"/>
    <n v="1"/>
    <s v="Defrost"/>
    <n v="120"/>
    <n v="197"/>
    <n v="70"/>
    <n v="0"/>
    <n v="-14"/>
  </r>
  <r>
    <n v="116988507"/>
    <x v="1"/>
    <s v="Haier HCE520RFC 516 л белый"/>
    <x v="7"/>
    <n v="516"/>
    <x v="2"/>
    <s v="белый"/>
    <x v="4"/>
    <n v="330826"/>
    <n v="2"/>
    <n v="1.8691588785046728E-2"/>
    <n v="665288"/>
    <n v="2.0379843888131417E-2"/>
    <s v="C"/>
    <n v="2"/>
    <n v="5"/>
    <n v="4"/>
    <s v="ручное"/>
    <n v="164"/>
    <n v="84.5"/>
    <n v="74.5"/>
    <n v="0"/>
    <n v="-29"/>
  </r>
  <r>
    <n v="157672271"/>
    <x v="1"/>
    <s v="МОРОЗ BC/BD 1388 1388 л белый"/>
    <x v="33"/>
    <n v="1388"/>
    <x v="13"/>
    <s v="белый"/>
    <x v="4"/>
    <n v="643085"/>
    <n v="1"/>
    <n v="0.33333333333333331"/>
    <n v="646450"/>
    <n v="0.3695233152091898"/>
    <s v="C"/>
    <n v="1"/>
    <n v="0"/>
    <n v="0"/>
    <s v="Defrost"/>
    <n v="255"/>
    <n v="90"/>
    <n v="90"/>
    <n v="0"/>
    <n v="-18"/>
  </r>
  <r>
    <n v="111545019"/>
    <x v="0"/>
    <s v="Морозильный ларь Leadbros J IC-16 белый"/>
    <x v="13"/>
    <n v="436"/>
    <x v="12"/>
    <s v="белый"/>
    <x v="4"/>
    <n v="301100"/>
    <n v="2"/>
    <n v="5.5555555555555552E-2"/>
    <n v="639819"/>
    <n v="7.1054698943806269E-2"/>
    <s v="C"/>
    <n v="1"/>
    <n v="5"/>
    <n v="0"/>
    <s v="ручное"/>
    <n v="160"/>
    <n v="89"/>
    <n v="82.5"/>
    <n v="4"/>
    <n v="-18"/>
  </r>
  <r>
    <n v="117232021"/>
    <x v="0"/>
    <s v="Бирюса CF23 230 л белый"/>
    <x v="1"/>
    <n v="230"/>
    <x v="4"/>
    <s v=" белый"/>
    <x v="4"/>
    <n v="196376"/>
    <n v="3"/>
    <n v="2.8037383177570093E-2"/>
    <n v="631161"/>
    <n v="3.1307688675202144E-2"/>
    <s v="C"/>
    <n v="6"/>
    <n v="5"/>
    <n v="18"/>
    <s v="ручное"/>
    <n v="88"/>
    <n v="88.5"/>
    <n v="66.5"/>
    <n v="3"/>
    <n v="-25"/>
  </r>
  <r>
    <n v="142950129"/>
    <x v="0"/>
    <s v="Friggier J SD-435BY 435 л черный"/>
    <x v="9"/>
    <n v="435"/>
    <x v="12"/>
    <s v=" черный"/>
    <x v="4"/>
    <n v="279900"/>
    <n v="2"/>
    <n v="5.5555555555555552E-2"/>
    <n v="613525"/>
    <n v="6.8134635216363912E-2"/>
    <s v="B"/>
    <n v="2"/>
    <n v="0"/>
    <n v="0"/>
    <s v="ручное"/>
    <n v="134"/>
    <n v="90"/>
    <n v="72"/>
    <n v="4"/>
    <n v="-18"/>
  </r>
  <r>
    <n v="103923411"/>
    <x v="2"/>
    <s v="BEKO BU1200HCA 96 л белый"/>
    <x v="28"/>
    <n v="96"/>
    <x v="15"/>
    <s v="белый"/>
    <x v="4"/>
    <n v="309990"/>
    <n v="2"/>
    <n v="0.66666666666666663"/>
    <n v="605820"/>
    <n v="0.71626015298944212"/>
    <s v="B"/>
    <n v="3"/>
    <n v="4.9000000000000004"/>
    <n v="14"/>
    <s v="ручное"/>
    <n v="59.5"/>
    <n v="81.8"/>
    <n v="54.5"/>
    <n v="0"/>
    <n v="-24"/>
  </r>
  <r>
    <n v="140611569"/>
    <x v="1"/>
    <s v="OUCBOLL BD/BC-1380H 1380 л белый"/>
    <x v="8"/>
    <n v="138"/>
    <x v="11"/>
    <s v=" белый"/>
    <x v="4"/>
    <n v="585690"/>
    <n v="1"/>
    <n v="1.3698630136986301E-2"/>
    <n v="599990"/>
    <n v="1.9896263794102337E-2"/>
    <s v="B"/>
    <n v="5"/>
    <n v="5"/>
    <n v="2"/>
    <s v="ручное"/>
    <n v="260"/>
    <n v="93"/>
    <n v="89"/>
    <n v="0"/>
    <n v="-18"/>
  </r>
  <r>
    <n v="128436967"/>
    <x v="0"/>
    <s v="RKS Cold 250 BD-980-27 1100 л серый"/>
    <x v="34"/>
    <n v="1100"/>
    <x v="14"/>
    <s v=" серый"/>
    <x v="4"/>
    <n v="501750"/>
    <n v="1"/>
    <n v="1"/>
    <n v="585133"/>
    <n v="1"/>
    <s v="B"/>
    <n v="2"/>
    <n v="5"/>
    <n v="1"/>
    <s v="ручное"/>
    <n v="250"/>
    <n v="86"/>
    <n v="77"/>
    <n v="9"/>
    <n v="-18"/>
  </r>
  <r>
    <n v="154652840"/>
    <x v="1"/>
    <s v="ORION BD-560S 560 л серебристый"/>
    <x v="4"/>
    <n v="560"/>
    <x v="2"/>
    <s v=" серебристый"/>
    <x v="4"/>
    <n v="666000"/>
    <n v="2"/>
    <n v="1.8691588785046728E-2"/>
    <n v="546717"/>
    <n v="1.6747644795919277E-2"/>
    <s v="B"/>
    <n v="1"/>
    <n v="4.5"/>
    <n v="2"/>
    <s v="ручное"/>
    <n v="160"/>
    <n v="84"/>
    <n v="67.400000000000006"/>
    <n v="2"/>
    <n v="-24"/>
  </r>
  <r>
    <n v="121174966"/>
    <x v="1"/>
    <s v="SAMGA BC/BD 400 400 л белый"/>
    <x v="32"/>
    <n v="400"/>
    <x v="12"/>
    <s v="белый"/>
    <x v="4"/>
    <n v="170000"/>
    <n v="3"/>
    <n v="8.3333333333333329E-2"/>
    <n v="540511"/>
    <n v="6.0026111104571241E-2"/>
    <s v="C"/>
    <n v="2"/>
    <n v="4.7"/>
    <n v="5"/>
    <s v="ручное"/>
    <n v="140"/>
    <n v="88"/>
    <n v="76"/>
    <n v="1"/>
    <n v="-24"/>
  </r>
  <r>
    <n v="110833716"/>
    <x v="2"/>
    <s v="Polair CB105-S 500 л белый"/>
    <x v="11"/>
    <n v="500"/>
    <x v="2"/>
    <s v=" белый"/>
    <x v="4"/>
    <n v="490356"/>
    <n v="1"/>
    <n v="9.3457943925233638E-3"/>
    <n v="483360"/>
    <n v="1.4806822521625525E-2"/>
    <s v="A"/>
    <n v="3"/>
    <n v="5"/>
    <n v="4"/>
    <s v="ручное"/>
    <n v="69.7"/>
    <n v="196"/>
    <n v="69.5"/>
    <n v="0"/>
    <n v="-18"/>
  </r>
  <r>
    <n v="141407423"/>
    <x v="1"/>
    <s v="OUCBOLL BD/BC-758 758 л белый"/>
    <x v="8"/>
    <n v="758"/>
    <x v="3"/>
    <s v=" белый"/>
    <x v="4"/>
    <n v="478500"/>
    <n v="1"/>
    <n v="7.8125E-3"/>
    <n v="479998"/>
    <n v="9.5731099156950543E-3"/>
    <s v="B"/>
    <n v="2"/>
    <n v="5"/>
    <n v="2"/>
    <s v="ручное"/>
    <n v="195"/>
    <n v="92"/>
    <n v="79"/>
    <n v="0"/>
    <n v="-18"/>
  </r>
  <r>
    <n v="146461246"/>
    <x v="2"/>
    <s v="Foodatlas FAMS-4M 870 л серый"/>
    <x v="37"/>
    <n v="870"/>
    <x v="8"/>
    <s v="серый"/>
    <x v="4"/>
    <n v="880000"/>
    <n v="1"/>
    <n v="5.8823529411764705E-2"/>
    <n v="477990"/>
    <n v="5.9120052580842179E-2"/>
    <s v="C"/>
    <n v="1"/>
    <n v="0"/>
    <n v="0"/>
    <s v="ручное"/>
    <n v="120"/>
    <n v="197"/>
    <n v="70"/>
    <n v="0"/>
    <n v="-15"/>
  </r>
  <r>
    <n v="162695585"/>
    <x v="1"/>
    <s v="Rebus RIF-600S 600 л серый"/>
    <x v="22"/>
    <n v="600"/>
    <x v="1"/>
    <s v="серый"/>
    <x v="4"/>
    <n v="299900"/>
    <n v="2"/>
    <n v="2.1276595744680851E-2"/>
    <n v="468000"/>
    <n v="1.7194703898932177E-2"/>
    <s v="C"/>
    <n v="3"/>
    <n v="5"/>
    <n v="1"/>
    <s v="Defrost"/>
    <n v="173"/>
    <n v="77"/>
    <n v="87"/>
    <n v="3"/>
    <n v="-18"/>
  </r>
  <r>
    <n v="100620937"/>
    <x v="1"/>
    <s v="Almagreen BDBC 1088 1088 л белый"/>
    <x v="20"/>
    <n v="1088"/>
    <x v="0"/>
    <s v=" белый"/>
    <x v="4"/>
    <n v="459756"/>
    <n v="1"/>
    <n v="0.1"/>
    <n v="459811"/>
    <n v="8.3676913658700988E-2"/>
    <s v="B"/>
    <n v="1"/>
    <n v="4.9000000000000004"/>
    <n v="4"/>
    <s v="ручное"/>
    <n v="197"/>
    <n v="94.2"/>
    <n v="104"/>
    <n v="2"/>
    <n v="-18"/>
  </r>
  <r>
    <n v="113072746"/>
    <x v="0"/>
    <s v="FROSTOR F 700 C 700 л белый, серый"/>
    <x v="18"/>
    <n v="700"/>
    <x v="3"/>
    <s v=" белый, серый"/>
    <x v="4"/>
    <n v="480000"/>
    <n v="1"/>
    <n v="7.8125E-3"/>
    <n v="459500"/>
    <n v="9.1642965309477898E-3"/>
    <s v="B"/>
    <n v="1"/>
    <n v="4.9000000000000004"/>
    <n v="45"/>
    <s v="ручное"/>
    <n v="180"/>
    <n v="84"/>
    <n v="60"/>
    <n v="6"/>
    <n v="-22"/>
  </r>
  <r>
    <n v="149362714"/>
    <x v="0"/>
    <s v="FROX JK-S01D 613 л серый"/>
    <x v="17"/>
    <n v="613"/>
    <x v="1"/>
    <s v=" серый"/>
    <x v="4"/>
    <n v="405000"/>
    <n v="1"/>
    <n v="1.0638297872340425E-2"/>
    <n v="443624"/>
    <n v="1.6299109663375829E-2"/>
    <s v="B"/>
    <n v="1"/>
    <n v="5"/>
    <n v="2"/>
    <s v="Defrost"/>
    <n v="180"/>
    <n v="86"/>
    <n v="76"/>
    <n v="7"/>
    <n v="-22"/>
  </r>
  <r>
    <n v="141507444"/>
    <x v="0"/>
    <s v="ORION SD-318 318 л серый"/>
    <x v="4"/>
    <n v="318"/>
    <x v="5"/>
    <s v=" серый"/>
    <x v="4"/>
    <n v="550000"/>
    <n v="2"/>
    <n v="1.0810810810810811E-2"/>
    <n v="422963"/>
    <n v="1.0264286515809063E-2"/>
    <s v="A"/>
    <n v="1"/>
    <n v="4.9000000000000004"/>
    <n v="20"/>
    <s v="ручное"/>
    <n v="129.4"/>
    <n v="83"/>
    <n v="59.8"/>
    <n v="5"/>
    <n v="-18"/>
  </r>
  <r>
    <n v="112447199"/>
    <x v="1"/>
    <s v="Морозильник GRAND GACF-1200WDFI 1208 л белый"/>
    <x v="45"/>
    <n v="1208"/>
    <x v="6"/>
    <s v="белый"/>
    <x v="4"/>
    <n v="799990"/>
    <n v="1"/>
    <n v="0.125"/>
    <n v="399990"/>
    <n v="8.6644067884724979E-2"/>
    <s v="C"/>
    <n v="0"/>
    <n v="4.5"/>
    <n v="1"/>
    <s v="Defrost"/>
    <n v="302"/>
    <n v="95.5"/>
    <n v="75"/>
    <n v="3"/>
    <n v="0"/>
  </r>
  <r>
    <n v="139085554"/>
    <x v="0"/>
    <s v="Friggier SD/SC 326SY 326 л черный"/>
    <x v="9"/>
    <n v="326"/>
    <x v="5"/>
    <s v=" черный"/>
    <x v="4"/>
    <n v="199000"/>
    <n v="2"/>
    <n v="1.0810810810810811E-2"/>
    <n v="398000"/>
    <n v="9.6584950298064069E-3"/>
    <s v="A"/>
    <n v="6"/>
    <n v="5"/>
    <n v="10"/>
    <s v="ручное"/>
    <n v="125"/>
    <n v="91"/>
    <n v="62"/>
    <n v="3"/>
    <n v="-18"/>
  </r>
  <r>
    <n v="140053241"/>
    <x v="0"/>
    <s v="Platinum PLSD-550 520 л белый"/>
    <x v="12"/>
    <n v="520"/>
    <x v="2"/>
    <s v="белый"/>
    <x v="4"/>
    <n v="389000"/>
    <n v="1"/>
    <n v="9.3457943925233638E-3"/>
    <n v="390000"/>
    <n v="1.1946914894558826E-2"/>
    <s v="C"/>
    <n v="3"/>
    <n v="5"/>
    <n v="6"/>
    <s v="ручное"/>
    <n v="166"/>
    <n v="83"/>
    <n v="69"/>
    <n v="6"/>
    <n v="-18"/>
  </r>
  <r>
    <n v="148807910"/>
    <x v="0"/>
    <s v="Aucma SD-280 280 л белый"/>
    <x v="14"/>
    <n v="280"/>
    <x v="4"/>
    <s v=" белый"/>
    <x v="4"/>
    <n v="179999"/>
    <n v="2"/>
    <n v="1.8691588785046728E-2"/>
    <n v="385831"/>
    <n v="1.9138503217470532E-2"/>
    <s v="B"/>
    <n v="4"/>
    <n v="5"/>
    <n v="2"/>
    <s v="Defrost"/>
    <n v="106.5"/>
    <n v="89.6"/>
    <n v="73.599999999999994"/>
    <n v="3"/>
    <n v="0"/>
  </r>
  <r>
    <n v="137444909"/>
    <x v="0"/>
    <s v="TIGER SD-500NL 500 л черный"/>
    <x v="0"/>
    <n v="500"/>
    <x v="2"/>
    <s v=" черный"/>
    <x v="4"/>
    <n v="328000"/>
    <n v="1"/>
    <n v="9.3457943925233638E-3"/>
    <n v="360097"/>
    <n v="1.1030892853297307E-2"/>
    <s v="A"/>
    <n v="1"/>
    <n v="5"/>
    <n v="1"/>
    <s v="Defrost"/>
    <n v="150"/>
    <n v="85"/>
    <n v="76"/>
    <n v="5"/>
    <n v="-24"/>
  </r>
  <r>
    <n v="116319762"/>
    <x v="1"/>
    <s v="Бирюса 560КХ 510 л белый"/>
    <x v="1"/>
    <n v="510"/>
    <x v="2"/>
    <s v="белый"/>
    <x v="4"/>
    <n v="319000"/>
    <n v="1"/>
    <n v="9.3457943925233638E-3"/>
    <n v="351470"/>
    <n v="1.0766620969206643E-2"/>
    <s v="C"/>
    <n v="1"/>
    <n v="4.83"/>
    <n v="2"/>
    <s v="ручное"/>
    <n v="179"/>
    <n v="81"/>
    <n v="66.5"/>
    <n v="2"/>
    <n v="0"/>
  </r>
  <r>
    <n v="113146979"/>
    <x v="1"/>
    <s v="Hisense FC-66DD4SAS1 500 л белый"/>
    <x v="36"/>
    <n v="500"/>
    <x v="2"/>
    <s v=" белый"/>
    <x v="4"/>
    <n v="329990"/>
    <n v="1"/>
    <n v="9.3457943925233638E-3"/>
    <n v="329990"/>
    <n v="1.0108621656552481E-2"/>
    <s v="B"/>
    <n v="1"/>
    <n v="5"/>
    <n v="14"/>
    <s v="ручное"/>
    <n v="170.2"/>
    <n v="84.2"/>
    <n v="70.900000000000006"/>
    <n v="0"/>
    <n v="0"/>
  </r>
  <r>
    <n v="148912880"/>
    <x v="1"/>
    <s v="SABA HD-600 600 л белый"/>
    <x v="29"/>
    <n v="600"/>
    <x v="1"/>
    <s v=" белый"/>
    <x v="4"/>
    <n v="308990"/>
    <n v="1"/>
    <n v="1.0638297872340425E-2"/>
    <n v="327131"/>
    <n v="1.2019061284533294E-2"/>
    <s v="B"/>
    <n v="2"/>
    <n v="5"/>
    <n v="2"/>
    <s v="ручное"/>
    <n v="177.5"/>
    <n v="91"/>
    <n v="72.5"/>
    <n v="3"/>
    <n v="-18"/>
  </r>
  <r>
    <n v="140289737"/>
    <x v="0"/>
    <s v="Friggier SD520Q 520 л белый"/>
    <x v="9"/>
    <n v="520"/>
    <x v="2"/>
    <s v="белый"/>
    <x v="4"/>
    <n v="319200"/>
    <n v="1"/>
    <n v="9.3457943925233638E-3"/>
    <n v="319200"/>
    <n v="9.7780903444696851E-3"/>
    <s v="C"/>
    <n v="4"/>
    <n v="5"/>
    <n v="0"/>
    <s v="ручное"/>
    <n v="152"/>
    <n v="84"/>
    <n v="70"/>
    <n v="5"/>
    <n v="-18"/>
  </r>
  <r>
    <n v="157671625"/>
    <x v="0"/>
    <s v="Aucma SD-540 540 л белый"/>
    <x v="14"/>
    <n v="540"/>
    <x v="2"/>
    <s v=" белый"/>
    <x v="4"/>
    <n v="300990"/>
    <n v="1"/>
    <n v="9.3457943925233638E-3"/>
    <n v="298990"/>
    <n v="9.1589950880106245E-3"/>
    <s v="A"/>
    <n v="5"/>
    <n v="5"/>
    <n v="7"/>
    <s v="ручное"/>
    <n v="150"/>
    <n v="85"/>
    <n v="70"/>
    <n v="7"/>
    <n v="-20"/>
  </r>
  <r>
    <n v="162887612"/>
    <x v="0"/>
    <s v="Морозильник SDSC-528BY 528 л белый"/>
    <x v="5"/>
    <n v="528"/>
    <x v="2"/>
    <s v="белый"/>
    <x v="4"/>
    <n v="268900"/>
    <n v="1"/>
    <n v="9.3457943925233638E-3"/>
    <n v="298046"/>
    <n v="9.1300774273427691E-3"/>
    <s v="C"/>
    <n v="0"/>
    <n v="5"/>
    <n v="1"/>
    <s v="Defrost"/>
    <n v="152"/>
    <n v="85"/>
    <n v="67.5"/>
    <n v="5"/>
    <n v="-18"/>
  </r>
  <r>
    <n v="154154972"/>
    <x v="0"/>
    <s v="Friggier CI-15A 500 л темно‑серый"/>
    <x v="9"/>
    <n v="500"/>
    <x v="2"/>
    <s v="темно‑серый"/>
    <x v="4"/>
    <n v="295000"/>
    <n v="1"/>
    <n v="9.3457943925233638E-3"/>
    <n v="295000"/>
    <n v="9.0367689587047533E-3"/>
    <s v="C"/>
    <n v="1"/>
    <n v="5"/>
    <n v="1"/>
    <s v="ручное"/>
    <n v="147"/>
    <n v="85"/>
    <n v="75"/>
    <n v="5"/>
    <n v="-18"/>
  </r>
  <r>
    <n v="140330750"/>
    <x v="0"/>
    <s v="Platinium PLSD 550 520 л белый"/>
    <x v="19"/>
    <n v="520"/>
    <x v="2"/>
    <s v="белый"/>
    <x v="4"/>
    <n v="288888"/>
    <n v="1"/>
    <n v="9.3457943925233638E-3"/>
    <n v="288888"/>
    <n v="8.8495393591264369E-3"/>
    <s v="C"/>
    <n v="3"/>
    <n v="5"/>
    <n v="1"/>
    <s v="Defrost"/>
    <n v="166"/>
    <n v="83"/>
    <n v="69"/>
    <n v="6"/>
    <n v="-18"/>
  </r>
  <r>
    <n v="116214532"/>
    <x v="1"/>
    <s v="XINGX BC/BD501 501 л белый"/>
    <x v="26"/>
    <n v="501"/>
    <x v="2"/>
    <s v="белый"/>
    <x v="4"/>
    <n v="288888"/>
    <n v="1"/>
    <n v="9.3457943925233638E-3"/>
    <n v="288888"/>
    <n v="8.8495393591264369E-3"/>
    <s v="C"/>
    <n v="2"/>
    <n v="5"/>
    <n v="5"/>
    <s v="ручное"/>
    <n v="153"/>
    <n v="88"/>
    <n v="67"/>
    <n v="1"/>
    <n v="-24"/>
  </r>
  <r>
    <n v="162887915"/>
    <x v="1"/>
    <s v="Rebus RIF-700W 700 л белый"/>
    <x v="22"/>
    <n v="700"/>
    <x v="3"/>
    <s v="белый"/>
    <x v="4"/>
    <n v="278934"/>
    <n v="1"/>
    <n v="7.8125E-3"/>
    <n v="279980"/>
    <n v="5.5839385043193954E-3"/>
    <s v="C"/>
    <n v="3"/>
    <n v="5"/>
    <n v="0"/>
    <s v="Defrost"/>
    <n v="193"/>
    <n v="82.5"/>
    <n v="71"/>
    <n v="0"/>
    <n v="-18"/>
  </r>
  <r>
    <n v="104775274"/>
    <x v="1"/>
    <s v="Xing BC/BD 500 500 л белый"/>
    <x v="30"/>
    <n v="500"/>
    <x v="2"/>
    <s v=" белый"/>
    <x v="4"/>
    <n v="278905"/>
    <n v="1"/>
    <n v="9.3457943925233638E-3"/>
    <n v="279395"/>
    <n v="8.5587391973468291E-3"/>
    <s v="B"/>
    <n v="2"/>
    <n v="5"/>
    <n v="8"/>
    <s v="ручное"/>
    <n v="153"/>
    <n v="80"/>
    <n v="75"/>
    <n v="0"/>
    <n v="-24"/>
  </r>
  <r>
    <n v="141583649"/>
    <x v="1"/>
    <s v="ORION BD-560S 560 л серый"/>
    <x v="4"/>
    <n v="560"/>
    <x v="2"/>
    <s v=" серый"/>
    <x v="4"/>
    <n v="699990"/>
    <n v="1"/>
    <n v="9.3457943925233638E-3"/>
    <n v="248990"/>
    <n v="7.6273393322979543E-3"/>
    <s v="A"/>
    <n v="1"/>
    <n v="4.7"/>
    <n v="21"/>
    <s v="ручное"/>
    <n v="160"/>
    <n v="84"/>
    <n v="67.400000000000006"/>
    <n v="2"/>
    <n v="-24"/>
  </r>
  <r>
    <n v="114858756"/>
    <x v="2"/>
    <s v="Haier HUF90RU 90 л белый"/>
    <x v="7"/>
    <n v="90"/>
    <x v="15"/>
    <s v=" белый"/>
    <x v="4"/>
    <n v="339990"/>
    <n v="1"/>
    <n v="0.33333333333333331"/>
    <n v="239990"/>
    <n v="0.28373984701055793"/>
    <s v="B"/>
    <n v="1"/>
    <n v="5"/>
    <n v="2"/>
    <s v="ручное"/>
    <n v="59.5"/>
    <n v="82"/>
    <n v="54.5"/>
    <n v="0"/>
    <n v="-24"/>
  </r>
  <r>
    <n v="114890200"/>
    <x v="0"/>
    <s v="Haier SD-416AE 417 л белый"/>
    <x v="7"/>
    <n v="417"/>
    <x v="12"/>
    <s v=" белый"/>
    <x v="4"/>
    <n v="299990"/>
    <n v="1"/>
    <n v="2.7777777777777776E-2"/>
    <n v="239560"/>
    <n v="2.6604185994755124E-2"/>
    <s v="C"/>
    <n v="4"/>
    <n v="5"/>
    <n v="1"/>
    <s v="ручное"/>
    <n v="130"/>
    <n v="84.5"/>
    <n v="65"/>
    <n v="4"/>
    <n v="-25"/>
  </r>
  <r>
    <n v="156862883"/>
    <x v="1"/>
    <s v="Platinium PLM-550S 550 л серый"/>
    <x v="19"/>
    <n v="550"/>
    <x v="2"/>
    <s v="серый"/>
    <x v="4"/>
    <n v="234391"/>
    <n v="1"/>
    <n v="9.3457943925233638E-3"/>
    <n v="235990"/>
    <n v="7.2291088358126601E-3"/>
    <s v="C"/>
    <n v="4"/>
    <n v="0"/>
    <n v="0"/>
    <s v="Defrost"/>
    <n v="153"/>
    <n v="74"/>
    <n v="83"/>
    <n v="1"/>
    <n v="-18"/>
  </r>
  <r>
    <n v="113102522"/>
    <x v="0"/>
    <s v="SAMGA SC/SD-338 338 л белый"/>
    <x v="32"/>
    <n v="338"/>
    <x v="5"/>
    <s v="белый"/>
    <x v="4"/>
    <n v="224000"/>
    <n v="1"/>
    <n v="5.4054054054054057E-3"/>
    <n v="225990"/>
    <n v="5.4842293763466077E-3"/>
    <s v="C"/>
    <n v="1"/>
    <n v="4.8"/>
    <n v="34"/>
    <s v="ручное"/>
    <n v="130"/>
    <n v="85"/>
    <n v="65"/>
    <n v="5"/>
    <n v="-24"/>
  </r>
  <r>
    <n v="163466491"/>
    <x v="0"/>
    <s v="AVANGARD SC/SD-308 400 л белый, серый"/>
    <x v="2"/>
    <n v="400"/>
    <x v="12"/>
    <s v="белый"/>
    <x v="4"/>
    <n v="255200"/>
    <n v="1"/>
    <n v="2.7777777777777776E-2"/>
    <n v="220000"/>
    <n v="2.4431962426307092E-2"/>
    <s v="C"/>
    <n v="1"/>
    <n v="5"/>
    <n v="1"/>
    <s v="ручное"/>
    <n v="104"/>
    <n v="63.7"/>
    <n v="59.8"/>
    <n v="5"/>
    <n v="-22"/>
  </r>
  <r>
    <n v="121279939"/>
    <x v="0"/>
    <s v="Muxxed SD/SC-112B 122 л белый"/>
    <x v="3"/>
    <n v="122"/>
    <x v="11"/>
    <s v=" белый"/>
    <x v="4"/>
    <n v="99300"/>
    <n v="2"/>
    <n v="2.7397260273972601E-2"/>
    <n v="208659"/>
    <n v="6.9193395006810106E-3"/>
    <s v="C"/>
    <n v="2"/>
    <n v="5"/>
    <n v="2"/>
    <s v="ручное"/>
    <n v="66"/>
    <n v="81"/>
    <n v="48"/>
    <n v="2"/>
    <n v="-18"/>
  </r>
  <r>
    <n v="153721974"/>
    <x v="1"/>
    <s v="Rebus RIF-600W 600 л белый"/>
    <x v="22"/>
    <n v="600"/>
    <x v="1"/>
    <s v=" белый"/>
    <x v="4"/>
    <n v="231000"/>
    <n v="1"/>
    <n v="1.0638297872340425E-2"/>
    <n v="197781"/>
    <n v="7.2666361791339845E-3"/>
    <s v="B"/>
    <n v="4"/>
    <n v="5"/>
    <n v="1"/>
    <s v="Defrost"/>
    <n v="168.5"/>
    <n v="82.5"/>
    <n v="71"/>
    <n v="0"/>
    <n v="-18"/>
  </r>
  <r>
    <n v="132170932"/>
    <x v="0"/>
    <s v="AVANGARD SD/SC-258Y 258 л белый, серый"/>
    <x v="2"/>
    <n v="258"/>
    <x v="4"/>
    <s v="белый"/>
    <x v="4"/>
    <n v="239990"/>
    <n v="1"/>
    <n v="9.3457943925233638E-3"/>
    <n v="196835"/>
    <n v="9.7636718687995842E-3"/>
    <s v="C"/>
    <n v="1"/>
    <n v="5"/>
    <n v="1"/>
    <s v="ручное"/>
    <n v="109"/>
    <n v="84.1"/>
    <n v="66"/>
    <n v="3"/>
    <n v="-18"/>
  </r>
  <r>
    <n v="153336154"/>
    <x v="1"/>
    <s v="Rebus RIF-550W 550 л белый"/>
    <x v="22"/>
    <n v="550"/>
    <x v="2"/>
    <s v=" белый"/>
    <x v="4"/>
    <n v="249990"/>
    <n v="1"/>
    <n v="9.3457943925233638E-3"/>
    <n v="189990"/>
    <n v="5.8199855405570034E-3"/>
    <s v="B"/>
    <n v="2"/>
    <n v="5"/>
    <n v="3"/>
    <s v="Defrost"/>
    <n v="153.5"/>
    <n v="82.5"/>
    <n v="74"/>
    <n v="0"/>
    <n v="-18"/>
  </r>
  <r>
    <n v="117729101"/>
    <x v="0"/>
    <s v="Almagreen SC/SD-380 380 л серый"/>
    <x v="20"/>
    <n v="380"/>
    <x v="5"/>
    <s v=" серый"/>
    <x v="4"/>
    <n v="189990"/>
    <n v="1"/>
    <n v="5.4054054054054057E-3"/>
    <n v="189990"/>
    <n v="4.6105966600827114E-3"/>
    <s v="C"/>
    <n v="1"/>
    <n v="4.8"/>
    <n v="16"/>
    <s v="Defrost"/>
    <n v="122"/>
    <n v="90"/>
    <n v="70"/>
    <n v="4"/>
    <n v="-18"/>
  </r>
  <r>
    <n v="162392253"/>
    <x v="1"/>
    <s v="Platinium PLM-450S 400 л серый"/>
    <x v="19"/>
    <n v="400"/>
    <x v="12"/>
    <s v="серый"/>
    <x v="4"/>
    <n v="200000"/>
    <n v="1"/>
    <n v="2.7777777777777776E-2"/>
    <n v="184990"/>
    <n v="2.0543948769284316E-2"/>
    <s v="C"/>
    <n v="3"/>
    <n v="5"/>
    <n v="0"/>
    <s v="Defrost"/>
    <n v="128"/>
    <n v="73.5"/>
    <n v="83"/>
    <n v="0"/>
    <n v="-18"/>
  </r>
  <r>
    <n v="136188270"/>
    <x v="0"/>
    <s v="AVANGARD SD/SC-158 158 л белый, синий"/>
    <x v="2"/>
    <n v="158"/>
    <x v="11"/>
    <s v="белый"/>
    <x v="4"/>
    <n v="158898"/>
    <n v="1"/>
    <n v="1.3698630136986301E-2"/>
    <n v="152990"/>
    <n v="5.0733002181031625E-3"/>
    <s v="C"/>
    <n v="3"/>
    <n v="5"/>
    <n v="2"/>
    <s v="ручное"/>
    <n v="60.6"/>
    <n v="85"/>
    <n v="70"/>
    <n v="1"/>
    <n v="-18"/>
  </r>
  <r>
    <n v="123748471"/>
    <x v="0"/>
    <s v="Muxxed SD/SC-112B 112 л серебристый"/>
    <x v="3"/>
    <n v="112"/>
    <x v="11"/>
    <s v=" серебристый"/>
    <x v="4"/>
    <n v="99300"/>
    <n v="1"/>
    <n v="1.3698630136986301E-2"/>
    <n v="99300"/>
    <n v="3.2928865393662596E-3"/>
    <s v="C"/>
    <n v="1"/>
    <n v="5"/>
    <n v="0"/>
    <s v="ручное"/>
    <n v="66"/>
    <n v="82"/>
    <n v="48"/>
    <n v="2"/>
    <n v="-18"/>
  </r>
  <r>
    <n v="148982330"/>
    <x v="0"/>
    <s v="Haier SD-325FPEL 320 л белый"/>
    <x v="7"/>
    <n v="320"/>
    <x v="5"/>
    <s v="белый"/>
    <x v="4"/>
    <n v="259990"/>
    <n v="0"/>
    <n v="0"/>
    <n v="0"/>
    <n v="0"/>
    <s v="C"/>
    <n v="1"/>
    <n v="0"/>
    <n v="0"/>
    <s v="ручное"/>
    <n v="107.5"/>
    <n v="81.8"/>
    <n v="65"/>
    <n v="4"/>
    <n v="-24"/>
  </r>
  <r>
    <n v="131142601"/>
    <x v="1"/>
    <s v="Rebus RF-650-1 650 л белый"/>
    <x v="22"/>
    <n v="650"/>
    <x v="1"/>
    <s v="белый"/>
    <x v="4"/>
    <n v="850000"/>
    <n v="0"/>
    <n v="0"/>
    <n v="0"/>
    <n v="0"/>
    <s v="C"/>
    <n v="2"/>
    <n v="5"/>
    <n v="3"/>
    <s v="ручное"/>
    <n v="193"/>
    <n v="82.5"/>
    <n v="71"/>
    <n v="0"/>
    <n v="-18"/>
  </r>
  <r>
    <n v="121428413"/>
    <x v="0"/>
    <s v="Muxxed SD/SC-318 300 л белый"/>
    <x v="3"/>
    <n v="300"/>
    <x v="5"/>
    <s v="белый"/>
    <x v="4"/>
    <n v="300000"/>
    <n v="0"/>
    <n v="0"/>
    <n v="0"/>
    <n v="0"/>
    <s v="C"/>
    <n v="1"/>
    <n v="4.8"/>
    <n v="97"/>
    <s v="ручное"/>
    <n v="130"/>
    <n v="85"/>
    <n v="60"/>
    <n v="5"/>
    <n v="-15"/>
  </r>
  <r>
    <n v="146322919"/>
    <x v="0"/>
    <s v="Витринный морозильник LUX-квадрат 700 л темно-синий"/>
    <x v="5"/>
    <n v="700"/>
    <x v="3"/>
    <s v="темно-синий"/>
    <x v="4"/>
    <n v="395000"/>
    <n v="0"/>
    <n v="0"/>
    <n v="0"/>
    <n v="0"/>
    <s v="C"/>
    <n v="1"/>
    <n v="5"/>
    <n v="0"/>
    <s v="Defrost"/>
    <n v="200"/>
    <n v="88"/>
    <n v="82"/>
    <n v="6"/>
    <n v="-20"/>
  </r>
  <r>
    <n v="103353026"/>
    <x v="1"/>
    <s v="Морозильник Leadbros BC/BD-558 558 л белый"/>
    <x v="13"/>
    <n v="558"/>
    <x v="2"/>
    <s v="белый"/>
    <x v="4"/>
    <n v="268500"/>
    <n v="0"/>
    <n v="0"/>
    <n v="0"/>
    <n v="0"/>
    <s v="C"/>
    <n v="1"/>
    <n v="4.9000000000000004"/>
    <n v="24"/>
    <s v="ручное"/>
    <n v="157"/>
    <n v="86"/>
    <n v="80"/>
    <n v="1"/>
    <n v="-18"/>
  </r>
  <r>
    <n v="106253836"/>
    <x v="0"/>
    <s v="FROSTOR Gellar FG 500 C 500 л красный"/>
    <x v="18"/>
    <n v="500"/>
    <x v="2"/>
    <s v="красный"/>
    <x v="4"/>
    <n v="400000"/>
    <n v="0"/>
    <n v="0"/>
    <n v="0"/>
    <n v="0"/>
    <s v="C"/>
    <n v="1"/>
    <n v="0"/>
    <n v="0"/>
    <s v="No Frost"/>
    <n v="141"/>
    <n v="85"/>
    <n v="60"/>
    <n v="7"/>
    <n v="0"/>
  </r>
  <r>
    <n v="114880698"/>
    <x v="0"/>
    <s v="Haier GTS2500W 1110 л белый"/>
    <x v="7"/>
    <n v="1110"/>
    <x v="14"/>
    <s v="белый"/>
    <x v="4"/>
    <n v="724335"/>
    <n v="0"/>
    <n v="0"/>
    <n v="0"/>
    <n v="0"/>
    <s v="C"/>
    <n v="4"/>
    <n v="5"/>
    <n v="1"/>
    <s v="No Frost"/>
    <n v="250"/>
    <n v="81"/>
    <n v="85.5"/>
    <n v="7"/>
    <n v="-24"/>
  </r>
  <r>
    <n v="137868518"/>
    <x v="0"/>
    <s v="Friggier SD265BY 265 л черный"/>
    <x v="9"/>
    <n v="265"/>
    <x v="4"/>
    <s v="черный"/>
    <x v="4"/>
    <n v="205000"/>
    <n v="0"/>
    <n v="0"/>
    <n v="0"/>
    <n v="0"/>
    <s v="C"/>
    <n v="6"/>
    <n v="0"/>
    <n v="0"/>
    <s v="ручное"/>
    <n v="100"/>
    <n v="90"/>
    <n v="64"/>
    <n v="3"/>
    <n v="-18"/>
  </r>
  <r>
    <n v="119662367"/>
    <x v="0"/>
    <s v="Muxxed D/SC-150B 150 л белый"/>
    <x v="3"/>
    <n v="150"/>
    <x v="11"/>
    <s v=" белый"/>
    <x v="4"/>
    <n v="140000"/>
    <n v="0"/>
    <n v="0"/>
    <n v="0"/>
    <n v="0"/>
    <s v="C"/>
    <n v="1"/>
    <n v="5"/>
    <n v="0"/>
    <s v="ручное"/>
    <n v="75"/>
    <n v="85"/>
    <n v="56"/>
    <n v="3"/>
    <n v="0"/>
  </r>
  <r>
    <n v="148807907"/>
    <x v="1"/>
    <s v="Aucma BC/BD(W)-600KFW 600 л белый"/>
    <x v="14"/>
    <n v="600"/>
    <x v="1"/>
    <s v=" белый"/>
    <x v="4"/>
    <n v="254789"/>
    <n v="0"/>
    <n v="0"/>
    <n v="0"/>
    <n v="0"/>
    <s v="C"/>
    <n v="3"/>
    <n v="4.5999999999999996"/>
    <n v="4"/>
    <s v="Defrost"/>
    <n v="170.3"/>
    <n v="88.5"/>
    <n v="76"/>
    <n v="0"/>
    <n v="-17"/>
  </r>
  <r>
    <n v="100620910"/>
    <x v="1"/>
    <s v="Almagreen BDBC 555 555 л белый"/>
    <x v="20"/>
    <n v="555"/>
    <x v="2"/>
    <s v="белый"/>
    <x v="4"/>
    <n v="268000"/>
    <n v="0"/>
    <n v="0"/>
    <n v="0"/>
    <n v="0"/>
    <s v="C"/>
    <n v="1"/>
    <n v="5"/>
    <n v="4"/>
    <s v="ручное"/>
    <n v="160"/>
    <n v="82.7"/>
    <n v="76"/>
    <n v="2"/>
    <n v="-18"/>
  </r>
  <r>
    <n v="154663956"/>
    <x v="0"/>
    <s v="LUX SD/SC-1500 518 л серый"/>
    <x v="24"/>
    <n v="518"/>
    <x v="2"/>
    <s v=" серый"/>
    <x v="4"/>
    <n v="280000"/>
    <n v="0"/>
    <n v="0"/>
    <n v="0"/>
    <n v="0"/>
    <s v="C"/>
    <n v="1"/>
    <n v="0"/>
    <n v="0"/>
    <s v="ручное"/>
    <n v="150"/>
    <n v="83.5"/>
    <n v="75"/>
    <n v="5"/>
    <n v="-20"/>
  </r>
  <r>
    <n v="100620951"/>
    <x v="0"/>
    <s v="Almagreen SDSC 550 550 л белый"/>
    <x v="20"/>
    <n v="550"/>
    <x v="2"/>
    <s v=" белый"/>
    <x v="4"/>
    <n v="389900"/>
    <n v="0"/>
    <n v="0"/>
    <n v="0"/>
    <n v="0"/>
    <s v="C"/>
    <n v="2"/>
    <n v="5"/>
    <n v="17"/>
    <s v="ручное"/>
    <n v="163.4"/>
    <n v="90"/>
    <n v="65.3"/>
    <n v="5"/>
    <n v="0"/>
  </r>
  <r>
    <n v="150941920"/>
    <x v="0"/>
    <s v="Морозильник Haibaite SD/SC-1500QY 518 л серый"/>
    <x v="27"/>
    <n v="518"/>
    <x v="2"/>
    <s v=" серый"/>
    <x v="4"/>
    <n v="289523"/>
    <n v="0"/>
    <n v="0"/>
    <n v="0"/>
    <n v="0"/>
    <s v="C"/>
    <n v="1"/>
    <n v="0"/>
    <n v="0"/>
    <s v="ручное"/>
    <n v="149.5"/>
    <n v="85"/>
    <n v="76.5"/>
    <n v="4"/>
    <n v="-20"/>
  </r>
  <r>
    <n v="141392200"/>
    <x v="0"/>
    <s v="Haier SD-505FPEL 500 л белый"/>
    <x v="7"/>
    <n v="500"/>
    <x v="2"/>
    <s v=" белый"/>
    <x v="4"/>
    <n v="329990"/>
    <n v="0"/>
    <n v="0"/>
    <n v="0"/>
    <n v="0"/>
    <s v="C"/>
    <n v="2"/>
    <n v="0"/>
    <n v="0"/>
    <s v="ручное"/>
    <n v="155"/>
    <n v="82"/>
    <n v="65"/>
    <n v="6"/>
    <n v="-24"/>
  </r>
  <r>
    <n v="143231818"/>
    <x v="1"/>
    <s v="AVA CFR-501W 508 л белый"/>
    <x v="41"/>
    <n v="508"/>
    <x v="2"/>
    <s v=" белый"/>
    <x v="4"/>
    <n v="349990"/>
    <n v="0"/>
    <n v="0"/>
    <n v="0"/>
    <n v="0"/>
    <s v="C"/>
    <n v="1"/>
    <n v="5"/>
    <n v="25"/>
    <s v="ручное"/>
    <n v="164"/>
    <n v="88"/>
    <n v="70.5"/>
    <n v="1"/>
    <n v="-22"/>
  </r>
  <r>
    <n v="129482952"/>
    <x v="0"/>
    <s v="HEIL SD551S 551 л белый"/>
    <x v="40"/>
    <n v="551"/>
    <x v="2"/>
    <s v=" белый"/>
    <x v="4"/>
    <n v="349900"/>
    <n v="0"/>
    <n v="0"/>
    <n v="0"/>
    <n v="0"/>
    <s v="C"/>
    <n v="2"/>
    <n v="5"/>
    <n v="0"/>
    <s v="Defrost"/>
    <n v="153"/>
    <n v="90"/>
    <n v="72"/>
    <n v="6"/>
    <n v="-23"/>
  </r>
  <r>
    <n v="106636721"/>
    <x v="0"/>
    <s v="Leadbros CI-17 600 л серый"/>
    <x v="13"/>
    <n v="600"/>
    <x v="1"/>
    <s v=" серый"/>
    <x v="4"/>
    <n v="371000"/>
    <n v="0"/>
    <n v="0"/>
    <n v="0"/>
    <n v="0"/>
    <s v="C"/>
    <n v="1"/>
    <n v="5"/>
    <n v="1"/>
    <s v="ручное"/>
    <n v="165"/>
    <n v="87"/>
    <n v="76"/>
    <n v="5"/>
    <n v="0"/>
  </r>
  <r>
    <n v="154652597"/>
    <x v="0"/>
    <s v="Haibaite SD/SC-2000QY 718 л серый"/>
    <x v="27"/>
    <n v="718"/>
    <x v="3"/>
    <s v="серый"/>
    <x v="4"/>
    <n v="350000"/>
    <n v="0"/>
    <n v="0"/>
    <n v="0"/>
    <n v="0"/>
    <s v="C"/>
    <n v="1"/>
    <n v="0"/>
    <n v="0"/>
    <s v="ручное"/>
    <n v="200"/>
    <n v="85"/>
    <n v="75"/>
    <n v="6"/>
    <n v="-20"/>
  </r>
  <r>
    <n v="108427272"/>
    <x v="1"/>
    <s v="Морозильник Leadbros BC/BD800 800 л белый"/>
    <x v="13"/>
    <n v="800"/>
    <x v="8"/>
    <s v=" белый"/>
    <x v="4"/>
    <n v="379990"/>
    <n v="0"/>
    <n v="0"/>
    <n v="0"/>
    <n v="0"/>
    <s v="C"/>
    <n v="1"/>
    <n v="5"/>
    <n v="15"/>
    <s v="ручное"/>
    <n v="195"/>
    <n v="88"/>
    <n v="84"/>
    <n v="2"/>
    <n v="-18"/>
  </r>
  <r>
    <n v="136844048"/>
    <x v="0"/>
    <s v="Haier SD-605FPEL 570 л белый"/>
    <x v="7"/>
    <n v="570"/>
    <x v="2"/>
    <s v=" белый"/>
    <x v="4"/>
    <n v="379990"/>
    <n v="0"/>
    <n v="0"/>
    <n v="0"/>
    <n v="0"/>
    <s v="C"/>
    <n v="3"/>
    <n v="5"/>
    <n v="0"/>
    <s v="ручное"/>
    <n v="175"/>
    <n v="81.8"/>
    <n v="65"/>
    <n v="6"/>
    <n v="-24"/>
  </r>
  <r>
    <n v="155336923"/>
    <x v="0"/>
    <s v="LUX SD/SC-BYH2000 900 л черный, серый"/>
    <x v="24"/>
    <n v="900"/>
    <x v="10"/>
    <s v=" черный, серый"/>
    <x v="4"/>
    <n v="450000"/>
    <n v="0"/>
    <n v="0"/>
    <n v="0"/>
    <n v="0"/>
    <s v="C"/>
    <n v="1"/>
    <n v="0"/>
    <n v="0"/>
    <s v="Defrost"/>
    <n v="200"/>
    <n v="85"/>
    <n v="88"/>
    <n v="7"/>
    <n v="-26"/>
  </r>
  <r>
    <n v="113187256"/>
    <x v="0"/>
    <s v="FROSTOR F 500 C 500 л серый-белый"/>
    <x v="18"/>
    <n v="500"/>
    <x v="2"/>
    <s v=" серый-белый"/>
    <x v="4"/>
    <n v="395000"/>
    <n v="0"/>
    <n v="0"/>
    <n v="0"/>
    <n v="0"/>
    <s v="C"/>
    <n v="1"/>
    <n v="4.3"/>
    <n v="4"/>
    <s v="ручное"/>
    <n v="140"/>
    <n v="84"/>
    <n v="60"/>
    <n v="5"/>
    <n v="-22"/>
  </r>
  <r>
    <n v="100843154"/>
    <x v="1"/>
    <s v="FROSTOR F 600 S 510 л белый"/>
    <x v="18"/>
    <n v="600"/>
    <x v="1"/>
    <s v=" белый"/>
    <x v="4"/>
    <n v="440000"/>
    <n v="0"/>
    <n v="0"/>
    <n v="0"/>
    <n v="0"/>
    <s v="C"/>
    <n v="1"/>
    <n v="4.4000000000000004"/>
    <n v="4"/>
    <s v="No Frost"/>
    <n v="160"/>
    <n v="82"/>
    <n v="60"/>
    <n v="0"/>
    <n v="0"/>
  </r>
  <r>
    <n v="155757762"/>
    <x v="0"/>
    <s v="XINGX SD/SC326 326 л белый"/>
    <x v="26"/>
    <n v="326"/>
    <x v="5"/>
    <s v=" белый"/>
    <x v="4"/>
    <n v="218479"/>
    <n v="0"/>
    <n v="0"/>
    <n v="0"/>
    <n v="0"/>
    <s v="C"/>
    <n v="3"/>
    <n v="5"/>
    <n v="0"/>
    <s v="Defrost"/>
    <n v="125"/>
    <n v="90"/>
    <n v="60"/>
    <n v="3"/>
    <n v="-18"/>
  </r>
  <r>
    <n v="119662367"/>
    <x v="0"/>
    <s v="Muxxed D/SC-150B 150 л белый"/>
    <x v="3"/>
    <n v="150"/>
    <x v="11"/>
    <s v=" белый"/>
    <x v="4"/>
    <n v="140000"/>
    <n v="0"/>
    <n v="0"/>
    <n v="0"/>
    <n v="0"/>
    <s v="C"/>
    <n v="1"/>
    <n v="5"/>
    <n v="0"/>
    <s v="ручное"/>
    <n v="75"/>
    <n v="85"/>
    <n v="56"/>
    <n v="3"/>
    <n v="0"/>
  </r>
  <r>
    <n v="136844048"/>
    <x v="0"/>
    <s v="Haier SD-605FPEL 570 л белый"/>
    <x v="7"/>
    <n v="570"/>
    <x v="2"/>
    <s v=" белый"/>
    <x v="4"/>
    <n v="379990"/>
    <n v="0"/>
    <n v="0"/>
    <n v="0"/>
    <n v="0"/>
    <s v="C"/>
    <n v="3"/>
    <n v="5"/>
    <n v="0"/>
    <s v="ручное"/>
    <n v="175"/>
    <n v="81.8"/>
    <n v="65"/>
    <n v="6"/>
    <n v="-24"/>
  </r>
  <r>
    <n v="155336923"/>
    <x v="0"/>
    <s v="LUX SD/SC-BYH2000 900 л черный, серый"/>
    <x v="24"/>
    <n v="900"/>
    <x v="10"/>
    <s v=" черный, серый"/>
    <x v="4"/>
    <n v="450000"/>
    <n v="0"/>
    <n v="0"/>
    <n v="0"/>
    <n v="0"/>
    <s v="C"/>
    <n v="1"/>
    <n v="0"/>
    <n v="0"/>
    <s v="Defrost"/>
    <n v="200"/>
    <n v="85"/>
    <n v="88"/>
    <n v="7"/>
    <n v="-26"/>
  </r>
  <r>
    <n v="113187256"/>
    <x v="0"/>
    <s v="FROSTOR F 500 C 500 л серый-белый"/>
    <x v="18"/>
    <n v="500"/>
    <x v="2"/>
    <s v=" серый-белый"/>
    <x v="4"/>
    <n v="395000"/>
    <n v="0"/>
    <n v="0"/>
    <n v="0"/>
    <n v="0"/>
    <s v="C"/>
    <n v="1"/>
    <n v="4.3"/>
    <n v="4"/>
    <s v="ручное"/>
    <n v="140"/>
    <n v="84"/>
    <n v="60"/>
    <n v="5"/>
    <n v="-22"/>
  </r>
  <r>
    <n v="100843154"/>
    <x v="1"/>
    <s v="FROSTOR F 600 S 510 л белый"/>
    <x v="18"/>
    <n v="600"/>
    <x v="1"/>
    <s v=" белый"/>
    <x v="4"/>
    <n v="440000"/>
    <n v="0"/>
    <n v="0"/>
    <n v="0"/>
    <n v="0"/>
    <s v="C"/>
    <n v="1"/>
    <n v="4.4000000000000004"/>
    <n v="4"/>
    <s v="No Frost"/>
    <n v="160"/>
    <n v="82"/>
    <n v="60"/>
    <n v="0"/>
    <n v="0"/>
  </r>
  <r>
    <n v="155757762"/>
    <x v="0"/>
    <s v="XINGX SD/SC326 326 л белый"/>
    <x v="26"/>
    <n v="326"/>
    <x v="5"/>
    <s v=" белый"/>
    <x v="4"/>
    <n v="218479"/>
    <n v="0"/>
    <n v="0"/>
    <n v="0"/>
    <n v="0"/>
    <s v="C"/>
    <n v="3"/>
    <n v="5"/>
    <n v="0"/>
    <s v="Defrost"/>
    <n v="125"/>
    <n v="90"/>
    <n v="60"/>
    <n v="3"/>
    <n v="-18"/>
  </r>
  <r>
    <n v="144491862"/>
    <x v="0"/>
    <s v="MK-100 700 л серый"/>
    <x v="5"/>
    <n v="700"/>
    <x v="3"/>
    <s v=" серый"/>
    <x v="4"/>
    <n v="408600"/>
    <n v="0"/>
    <n v="0"/>
    <n v="0"/>
    <n v="0"/>
    <s v="C"/>
    <n v="1"/>
    <n v="0"/>
    <n v="0"/>
    <s v="ручное"/>
    <n v="74"/>
    <n v="87"/>
    <n v="45"/>
    <n v="0"/>
    <n v="-18"/>
  </r>
  <r>
    <n v="2800259"/>
    <x v="0"/>
    <s v="Снеж МЛГ-600 551 л белый"/>
    <x v="35"/>
    <n v="551"/>
    <x v="2"/>
    <s v=" белый"/>
    <x v="4"/>
    <n v="458000"/>
    <n v="0"/>
    <n v="0"/>
    <n v="0"/>
    <n v="0"/>
    <s v="C"/>
    <n v="1"/>
    <n v="4.4000000000000004"/>
    <n v="8"/>
    <s v="ручное"/>
    <n v="160"/>
    <n v="80"/>
    <n v="60"/>
    <n v="6"/>
    <n v="0"/>
  </r>
  <r>
    <n v="156863274"/>
    <x v="1"/>
    <s v="Platinium PLM-500W 500 л белый"/>
    <x v="19"/>
    <n v="500"/>
    <x v="2"/>
    <s v=" белый"/>
    <x v="4"/>
    <n v="231990"/>
    <n v="0"/>
    <n v="0"/>
    <n v="0"/>
    <n v="0"/>
    <s v="C"/>
    <n v="3"/>
    <n v="0"/>
    <n v="0"/>
    <s v="Defrost"/>
    <n v="140"/>
    <n v="71"/>
    <n v="89"/>
    <n v="0"/>
    <n v="-18"/>
  </r>
  <r>
    <n v="148807903"/>
    <x v="1"/>
    <s v="Aucma BC/BD(W)-500KFW 500 л белый"/>
    <x v="14"/>
    <n v="500"/>
    <x v="2"/>
    <s v=" белый"/>
    <x v="4"/>
    <n v="199990"/>
    <n v="0"/>
    <n v="0"/>
    <n v="0"/>
    <n v="0"/>
    <s v="C"/>
    <n v="2"/>
    <n v="5"/>
    <n v="1"/>
    <s v="Defrost"/>
    <n v="145.19999999999999"/>
    <n v="88.5"/>
    <n v="76"/>
    <n v="0"/>
    <n v="-17"/>
  </r>
  <r>
    <n v="104045575"/>
    <x v="0"/>
    <s v="FROSTOR F 2500 B 999 л белый"/>
    <x v="18"/>
    <n v="999"/>
    <x v="10"/>
    <s v=" белый"/>
    <x v="4"/>
    <n v="950000"/>
    <n v="0"/>
    <n v="0"/>
    <n v="0"/>
    <n v="0"/>
    <s v="B"/>
    <n v="1"/>
    <n v="4.7"/>
    <n v="7"/>
    <s v="ручное"/>
    <n v="250"/>
    <n v="75"/>
    <n v="87"/>
    <n v="12"/>
    <n v="-25"/>
  </r>
  <r>
    <n v="116443890"/>
    <x v="2"/>
    <s v="Prokitchen ХШН-2/1200С 1200 л белый"/>
    <x v="15"/>
    <n v="1200"/>
    <x v="6"/>
    <s v=" белый"/>
    <x v="4"/>
    <n v="955500"/>
    <n v="0"/>
    <n v="0"/>
    <n v="0"/>
    <n v="0"/>
    <s v="B"/>
    <n v="1"/>
    <n v="0"/>
    <n v="0"/>
    <s v="Defrost"/>
    <n v="140"/>
    <n v="215"/>
    <n v="70"/>
    <n v="0"/>
    <n v="-18"/>
  </r>
  <r>
    <n v="121623694"/>
    <x v="0"/>
    <s v="Bonvini BFL 2500 1300 л белый, серый"/>
    <x v="16"/>
    <n v="1300"/>
    <x v="13"/>
    <s v=" белый, серый"/>
    <x v="4"/>
    <n v="809545"/>
    <n v="0"/>
    <n v="0"/>
    <n v="0"/>
    <n v="0"/>
    <s v="B"/>
    <n v="2"/>
    <n v="0"/>
    <n v="0"/>
    <s v="ручное"/>
    <n v="250"/>
    <n v="85"/>
    <n v="96"/>
    <n v="0"/>
    <n v="-25"/>
  </r>
  <r>
    <n v="122619339"/>
    <x v="0"/>
    <s v="Bonvini BFL2500 1300 л красный"/>
    <x v="16"/>
    <n v="1300"/>
    <x v="13"/>
    <s v="красный"/>
    <x v="4"/>
    <n v="995000"/>
    <n v="0"/>
    <n v="0"/>
    <n v="0"/>
    <n v="0"/>
    <s v="B"/>
    <n v="1"/>
    <n v="5"/>
    <n v="1"/>
    <s v="Defrost"/>
    <n v="275"/>
    <n v="102"/>
    <n v="104"/>
    <n v="6"/>
    <n v="-25"/>
  </r>
  <r>
    <n v="114109997"/>
    <x v="1"/>
    <s v="FROSTOR F 800 SD 800 л белый, серый"/>
    <x v="18"/>
    <n v="800"/>
    <x v="8"/>
    <s v=" белый, серый"/>
    <x v="4"/>
    <n v="550000"/>
    <n v="0"/>
    <n v="0"/>
    <n v="0"/>
    <n v="0"/>
    <s v="B"/>
    <n v="1"/>
    <n v="4.43"/>
    <n v="4"/>
    <s v="ручное"/>
    <n v="200"/>
    <n v="84"/>
    <n v="60"/>
    <n v="8"/>
    <n v="-22"/>
  </r>
  <r>
    <n v="153722102"/>
    <x v="1"/>
    <s v="Rebus RIF-700S 700 л серый"/>
    <x v="22"/>
    <n v="700"/>
    <x v="3"/>
    <s v=" серый"/>
    <x v="4"/>
    <n v="296908"/>
    <n v="0"/>
    <n v="0"/>
    <n v="0"/>
    <n v="0"/>
    <s v="B"/>
    <n v="6"/>
    <n v="5"/>
    <n v="1"/>
    <s v="Defrost"/>
    <n v="193"/>
    <n v="82.5"/>
    <n v="71"/>
    <n v="0"/>
    <n v="0"/>
  </r>
  <r>
    <n v="121205888"/>
    <x v="2"/>
    <s v="AOLIEGE HZRL4 800 л серебристый"/>
    <x v="25"/>
    <n v="800"/>
    <x v="8"/>
    <s v=" серебристый"/>
    <x v="4"/>
    <n v="391900"/>
    <n v="0"/>
    <n v="0"/>
    <n v="0"/>
    <n v="0"/>
    <s v="B"/>
    <n v="2"/>
    <n v="5"/>
    <n v="2"/>
    <s v="Defrost"/>
    <n v="60"/>
    <n v="196"/>
    <n v="76"/>
    <n v="0"/>
    <n v="-14"/>
  </r>
  <r>
    <n v="131172629"/>
    <x v="0"/>
    <s v="XINGX SD/SC-1000BY 1000 л серый, мультиколор"/>
    <x v="26"/>
    <n v="1000"/>
    <x v="0"/>
    <s v=" серый, мультиколор"/>
    <x v="4"/>
    <n v="649980"/>
    <n v="0"/>
    <n v="0"/>
    <n v="0"/>
    <n v="0"/>
    <s v="B"/>
    <n v="1"/>
    <n v="5"/>
    <n v="1"/>
    <s v="Defrost"/>
    <n v="250"/>
    <n v="85"/>
    <n v="85"/>
    <n v="8"/>
    <n v="-18"/>
  </r>
  <r>
    <n v="156863482"/>
    <x v="1"/>
    <s v="Platinium PLM-1100S 1100 л серый"/>
    <x v="19"/>
    <n v="1100"/>
    <x v="14"/>
    <s v=" серый"/>
    <x v="4"/>
    <n v="479980"/>
    <n v="0"/>
    <n v="0"/>
    <n v="0"/>
    <n v="0"/>
    <s v="B"/>
    <n v="3"/>
    <n v="5"/>
    <n v="0"/>
    <s v="Defrost"/>
    <n v="236"/>
    <n v="85"/>
    <n v="90"/>
    <n v="0"/>
    <n v="-20"/>
  </r>
  <r>
    <n v="140652811"/>
    <x v="1"/>
    <s v="Friggier BC/BD 800 800 л белый"/>
    <x v="9"/>
    <n v="800"/>
    <x v="8"/>
    <s v=" белый"/>
    <x v="4"/>
    <n v="333000"/>
    <n v="0"/>
    <n v="0"/>
    <n v="0"/>
    <n v="0"/>
    <s v="B"/>
    <n v="1"/>
    <n v="5"/>
    <n v="7"/>
    <s v="ручное"/>
    <n v="194.5"/>
    <n v="88"/>
    <n v="80"/>
    <n v="2"/>
    <n v="-18"/>
  </r>
  <r>
    <n v="114860975"/>
    <x v="0"/>
    <s v="Haier SD-516AELUA 513 л белый"/>
    <x v="7"/>
    <n v="513"/>
    <x v="2"/>
    <s v=" белый"/>
    <x v="4"/>
    <n v="409185"/>
    <n v="0"/>
    <n v="0"/>
    <n v="0"/>
    <n v="0"/>
    <s v="B"/>
    <n v="2"/>
    <n v="5"/>
    <n v="2"/>
    <s v="ручное"/>
    <n v="155"/>
    <n v="84.5"/>
    <n v="65"/>
    <n v="4"/>
    <n v="-24"/>
  </r>
  <r>
    <n v="136188264"/>
    <x v="0"/>
    <s v="AVANGARD SD/SC-400Y A1u 400 л белый, серый"/>
    <x v="2"/>
    <n v="400"/>
    <x v="12"/>
    <s v="белый, серый"/>
    <x v="4"/>
    <n v="255000"/>
    <n v="0"/>
    <n v="0"/>
    <n v="0"/>
    <n v="0"/>
    <s v="B"/>
    <n v="2"/>
    <n v="4.5999999999999996"/>
    <n v="19"/>
    <s v="ручное"/>
    <n v="144"/>
    <n v="84.1"/>
    <n v="66"/>
    <n v="4"/>
    <n v="-18"/>
  </r>
  <r>
    <n v="132777674"/>
    <x v="0"/>
    <s v="AVANGARD SD/SC-1800RS 647 л белый, серый"/>
    <x v="2"/>
    <n v="647"/>
    <x v="1"/>
    <s v=" белый, серый"/>
    <x v="4"/>
    <n v="429990"/>
    <n v="0"/>
    <n v="0"/>
    <n v="0"/>
    <n v="0"/>
    <s v="B"/>
    <n v="1"/>
    <n v="5"/>
    <n v="2"/>
    <s v="Defrost"/>
    <n v="182"/>
    <n v="82.2"/>
    <n v="82.2"/>
    <n v="6"/>
    <n v="-25"/>
  </r>
  <r>
    <n v="129159431"/>
    <x v="1"/>
    <s v="BC/BD 1388BX 1380 л белый"/>
    <x v="5"/>
    <n v="1380"/>
    <x v="13"/>
    <s v=" белый"/>
    <x v="4"/>
    <n v="658000"/>
    <n v="0"/>
    <n v="0"/>
    <n v="0"/>
    <n v="0"/>
    <s v="A"/>
    <n v="2"/>
    <n v="5"/>
    <n v="1"/>
    <s v="Defrost"/>
    <n v="260"/>
    <n v="88"/>
    <n v="102"/>
    <n v="0"/>
    <n v="-18"/>
  </r>
  <r>
    <n v="110653507"/>
    <x v="0"/>
    <s v="Bonvini BF 2100L 1100 л белый-серый"/>
    <x v="16"/>
    <n v="1100"/>
    <x v="14"/>
    <s v=" белый-серый"/>
    <x v="4"/>
    <n v="1600000"/>
    <n v="0"/>
    <n v="0"/>
    <n v="0"/>
    <n v="0"/>
    <s v="A"/>
    <n v="1"/>
    <n v="5"/>
    <n v="3"/>
    <s v="ручное"/>
    <n v="210"/>
    <n v="85"/>
    <n v="96"/>
    <n v="6"/>
    <n v="-25"/>
  </r>
  <r>
    <n v="141408862"/>
    <x v="0"/>
    <s v="Friggier CI-17A 600 л черный"/>
    <x v="9"/>
    <n v="600"/>
    <x v="1"/>
    <s v=" черный"/>
    <x v="4"/>
    <n v="371000"/>
    <n v="0"/>
    <n v="0"/>
    <n v="0"/>
    <n v="0"/>
    <s v="A"/>
    <n v="5"/>
    <n v="5"/>
    <n v="5"/>
    <s v="ручное"/>
    <n v="165"/>
    <n v="86"/>
    <n v="76"/>
    <n v="5"/>
    <n v="-18"/>
  </r>
  <r>
    <n v="142749485"/>
    <x v="1"/>
    <s v="BAQ W-3000 1600 л белый"/>
    <x v="39"/>
    <n v="1600"/>
    <x v="7"/>
    <s v=" белый"/>
    <x v="4"/>
    <n v="690000"/>
    <n v="0"/>
    <n v="0"/>
    <n v="0"/>
    <n v="0"/>
    <s v="A"/>
    <n v="1"/>
    <n v="5"/>
    <n v="1"/>
    <s v="Defrost"/>
    <n v="307"/>
    <n v="88"/>
    <n v="101"/>
    <n v="2"/>
    <n v="-18"/>
  </r>
  <r>
    <n v="119264288"/>
    <x v="0"/>
    <s v="Muxxed SD/SC-155Y 155 л белый"/>
    <x v="3"/>
    <n v="155"/>
    <x v="11"/>
    <s v=" белый"/>
    <x v="4"/>
    <n v="116500"/>
    <n v="0"/>
    <n v="0"/>
    <n v="0"/>
    <n v="0"/>
    <s v="A"/>
    <n v="1"/>
    <n v="5"/>
    <n v="16"/>
    <s v="Defrost"/>
    <n v="50"/>
    <n v="80"/>
    <n v="80"/>
    <n v="3"/>
    <n v="0"/>
  </r>
  <r>
    <n v="143838104"/>
    <x v="0"/>
    <s v="Морозильник Muxxed SD/SC-205Y 205 л белый"/>
    <x v="3"/>
    <n v="205"/>
    <x v="4"/>
    <s v="белый"/>
    <x v="4"/>
    <n v="137400"/>
    <n v="0"/>
    <n v="0"/>
    <n v="0"/>
    <n v="0"/>
    <s v="C"/>
    <n v="1"/>
    <n v="4.9000000000000004"/>
    <n v="22"/>
    <s v="ручное"/>
    <n v="100"/>
    <n v="77"/>
    <n v="50"/>
    <n v="4"/>
    <n v="-18"/>
  </r>
  <r>
    <n v="148880716"/>
    <x v="0"/>
    <s v="FROX SD-SC-700BY 725 л серый"/>
    <x v="17"/>
    <n v="725"/>
    <x v="3"/>
    <s v="серый"/>
    <x v="4"/>
    <n v="420000"/>
    <n v="0"/>
    <n v="0"/>
    <n v="0"/>
    <n v="0"/>
    <s v="C"/>
    <n v="1"/>
    <n v="0"/>
    <n v="0"/>
    <s v="Defrost"/>
    <n v="200"/>
    <n v="85"/>
    <n v="75"/>
    <n v="6"/>
    <n v="-22"/>
  </r>
  <r>
    <n v="147291509"/>
    <x v="1"/>
    <s v="Blesk BL-718BD 708 л белый"/>
    <x v="38"/>
    <n v="708"/>
    <x v="3"/>
    <s v=" белый"/>
    <x v="4"/>
    <n v="361760"/>
    <n v="0"/>
    <n v="0"/>
    <n v="0"/>
    <n v="0"/>
    <s v="B"/>
    <n v="6"/>
    <n v="5"/>
    <n v="2"/>
    <s v="ручное"/>
    <n v="211"/>
    <n v="80"/>
    <n v="79"/>
    <n v="2"/>
    <n v="0"/>
  </r>
  <r>
    <n v="155437333"/>
    <x v="0"/>
    <s v="FROX SD/SC-800 800 л золотистый"/>
    <x v="17"/>
    <n v="800"/>
    <x v="8"/>
    <s v=" золотистый"/>
    <x v="4"/>
    <n v="420000"/>
    <n v="0"/>
    <n v="0"/>
    <n v="0"/>
    <n v="0"/>
    <s v="B"/>
    <n v="1"/>
    <n v="0"/>
    <n v="0"/>
    <s v="Defrost"/>
    <n v="200"/>
    <n v="85"/>
    <n v="80"/>
    <n v="6"/>
    <n v="-26"/>
  </r>
  <r>
    <n v="159645113"/>
    <x v="2"/>
    <s v="Foodatlas FA1200-MOR 1200 л серый"/>
    <x v="37"/>
    <n v="1200"/>
    <x v="6"/>
    <s v=" серый"/>
    <x v="4"/>
    <n v="628990"/>
    <n v="0"/>
    <n v="0"/>
    <n v="0"/>
    <n v="0"/>
    <s v="B"/>
    <n v="1"/>
    <n v="5"/>
    <n v="1"/>
    <s v="ручное"/>
    <n v="120"/>
    <n v="196"/>
    <n v="76"/>
    <n v="0"/>
    <n v="-15"/>
  </r>
  <r>
    <n v="104045575"/>
    <x v="0"/>
    <s v="FROSTOR F 2500 B 999 л белый"/>
    <x v="18"/>
    <n v="999"/>
    <x v="10"/>
    <s v=" белый"/>
    <x v="4"/>
    <n v="950000"/>
    <n v="0"/>
    <n v="0"/>
    <n v="0"/>
    <n v="0"/>
    <s v="B"/>
    <n v="1"/>
    <n v="4.7"/>
    <n v="7"/>
    <s v="ручное"/>
    <n v="250"/>
    <n v="75"/>
    <n v="87"/>
    <n v="12"/>
    <n v="-25"/>
  </r>
  <r>
    <n v="116443890"/>
    <x v="2"/>
    <s v="Prokitchen ХШН-2/1200С 1200 л белый"/>
    <x v="15"/>
    <n v="1200"/>
    <x v="6"/>
    <s v=" белый"/>
    <x v="4"/>
    <n v="955500"/>
    <n v="0"/>
    <n v="0"/>
    <n v="0"/>
    <n v="0"/>
    <s v="B"/>
    <n v="1"/>
    <n v="0"/>
    <n v="0"/>
    <s v="Defrost"/>
    <n v="140"/>
    <n v="215"/>
    <n v="70"/>
    <n v="0"/>
    <n v="-18"/>
  </r>
  <r>
    <n v="121623694"/>
    <x v="0"/>
    <s v="Bonvini BFL 2500 1300 л белый, серый"/>
    <x v="16"/>
    <n v="1300"/>
    <x v="13"/>
    <s v=" белый, серый"/>
    <x v="4"/>
    <n v="809545"/>
    <n v="0"/>
    <n v="0"/>
    <n v="0"/>
    <n v="0"/>
    <s v="B"/>
    <n v="2"/>
    <n v="0"/>
    <n v="0"/>
    <s v="ручное"/>
    <n v="250"/>
    <n v="85"/>
    <n v="96"/>
    <n v="0"/>
    <n v="-25"/>
  </r>
  <r>
    <n v="122619339"/>
    <x v="0"/>
    <s v="Bonvini BFL2500 1300 л красный"/>
    <x v="16"/>
    <n v="1300"/>
    <x v="13"/>
    <s v="красный"/>
    <x v="4"/>
    <n v="995000"/>
    <n v="0"/>
    <n v="0"/>
    <n v="0"/>
    <n v="0"/>
    <s v="B"/>
    <n v="1"/>
    <n v="5"/>
    <n v="1"/>
    <s v="Defrost"/>
    <n v="275"/>
    <n v="102"/>
    <n v="104"/>
    <n v="6"/>
    <n v="-25"/>
  </r>
  <r>
    <n v="114109997"/>
    <x v="1"/>
    <s v="FROSTOR F 800 SD 800 л белый, серый"/>
    <x v="18"/>
    <n v="800"/>
    <x v="8"/>
    <s v=" белый, серый"/>
    <x v="4"/>
    <n v="550000"/>
    <n v="0"/>
    <n v="0"/>
    <n v="0"/>
    <n v="0"/>
    <s v="B"/>
    <n v="1"/>
    <n v="4.43"/>
    <n v="4"/>
    <s v="ручное"/>
    <n v="200"/>
    <n v="84"/>
    <n v="60"/>
    <n v="8"/>
    <n v="-22"/>
  </r>
  <r>
    <n v="119264286"/>
    <x v="0"/>
    <s v="Muxxed SD/SC-268 268 л желтый"/>
    <x v="3"/>
    <n v="268"/>
    <x v="4"/>
    <s v=" желтый"/>
    <x v="4"/>
    <n v="263800"/>
    <n v="0"/>
    <n v="0"/>
    <n v="0"/>
    <n v="0"/>
    <s v="A"/>
    <n v="1"/>
    <n v="5"/>
    <n v="91"/>
    <s v="Defrost"/>
    <n v="110"/>
    <n v="85"/>
    <n v="60"/>
    <n v="4"/>
    <n v="-18"/>
  </r>
  <r>
    <n v="114880698"/>
    <x v="0"/>
    <s v="Haier GTS2500W 1110 л белый"/>
    <x v="7"/>
    <n v="1110"/>
    <x v="14"/>
    <s v="белый"/>
    <x v="4"/>
    <n v="724335"/>
    <n v="0"/>
    <n v="0"/>
    <n v="0"/>
    <n v="0"/>
    <s v="C"/>
    <n v="4"/>
    <n v="5"/>
    <n v="1"/>
    <s v="No Frost"/>
    <n v="250"/>
    <n v="81"/>
    <n v="85.5"/>
    <n v="7"/>
    <n v="-24"/>
  </r>
  <r>
    <n v="100620922"/>
    <x v="1"/>
    <s v="Морозильник Almagreen BDBC 700 700 л белый"/>
    <x v="20"/>
    <n v="700"/>
    <x v="3"/>
    <s v="белый"/>
    <x v="4"/>
    <n v="350000"/>
    <n v="0"/>
    <n v="0"/>
    <n v="0"/>
    <n v="0"/>
    <s v="C"/>
    <n v="1"/>
    <n v="5"/>
    <n v="18"/>
    <s v="ручное"/>
    <n v="180"/>
    <n v="82.7"/>
    <n v="76"/>
    <n v="0"/>
    <n v="-18"/>
  </r>
  <r>
    <n v="138886748"/>
    <x v="2"/>
    <s v="Foodsense VF-600L 600 л стальной"/>
    <x v="21"/>
    <n v="600"/>
    <x v="1"/>
    <s v="стальной"/>
    <x v="4"/>
    <n v="406820"/>
    <n v="0"/>
    <n v="0"/>
    <n v="0"/>
    <n v="0"/>
    <s v="C"/>
    <n v="7"/>
    <n v="5"/>
    <n v="4"/>
    <s v="ручное"/>
    <n v="60"/>
    <n v="196"/>
    <n v="76"/>
    <n v="0"/>
    <n v="-14"/>
  </r>
  <r>
    <n v="110555381"/>
    <x v="1"/>
    <s v="FROSTOR F 700 S 700 л белый-серый"/>
    <x v="18"/>
    <n v="700"/>
    <x v="3"/>
    <s v="белый-серый"/>
    <x v="4"/>
    <n v="480000"/>
    <n v="0"/>
    <n v="0"/>
    <n v="0"/>
    <n v="0"/>
    <s v="C"/>
    <n v="1"/>
    <n v="4.8899999999999997"/>
    <n v="2"/>
    <s v="ручное"/>
    <n v="180"/>
    <n v="84"/>
    <n v="60"/>
    <n v="3"/>
    <n v="-22"/>
  </r>
  <r>
    <n v="103353026"/>
    <x v="1"/>
    <s v="Морозильник Leadbros BC/BD-558 558 л белый"/>
    <x v="13"/>
    <n v="558"/>
    <x v="2"/>
    <s v="белый"/>
    <x v="4"/>
    <n v="268500"/>
    <n v="0"/>
    <n v="0"/>
    <n v="0"/>
    <n v="0"/>
    <s v="C"/>
    <n v="1"/>
    <n v="4.9000000000000004"/>
    <n v="24"/>
    <s v="ручное"/>
    <n v="157"/>
    <n v="86"/>
    <n v="80"/>
    <n v="1"/>
    <n v="-18"/>
  </r>
  <r>
    <n v="154663956"/>
    <x v="0"/>
    <s v="LUX SD/SC-1500 518 л серый"/>
    <x v="24"/>
    <n v="518"/>
    <x v="2"/>
    <s v=" серый"/>
    <x v="4"/>
    <n v="280000"/>
    <n v="0"/>
    <n v="0"/>
    <n v="0"/>
    <n v="0"/>
    <s v="C"/>
    <n v="1"/>
    <n v="0"/>
    <n v="0"/>
    <s v="ручное"/>
    <n v="150"/>
    <n v="83.5"/>
    <n v="75"/>
    <n v="5"/>
    <n v="-20"/>
  </r>
  <r>
    <n v="100620951"/>
    <x v="0"/>
    <s v="Almagreen SDSC 550 550 л белый"/>
    <x v="20"/>
    <n v="550"/>
    <x v="2"/>
    <s v=" белый"/>
    <x v="4"/>
    <n v="389900"/>
    <n v="0"/>
    <n v="0"/>
    <n v="0"/>
    <n v="0"/>
    <s v="C"/>
    <n v="2"/>
    <n v="5"/>
    <n v="17"/>
    <s v="ручное"/>
    <n v="163.4"/>
    <n v="90"/>
    <n v="65.3"/>
    <n v="5"/>
    <n v="0"/>
  </r>
  <r>
    <n v="150941920"/>
    <x v="0"/>
    <s v="Морозильник Haibaite SD/SC-1500QY 518 л серый"/>
    <x v="27"/>
    <n v="518"/>
    <x v="2"/>
    <s v=" серый"/>
    <x v="4"/>
    <n v="289523"/>
    <n v="0"/>
    <n v="0"/>
    <n v="0"/>
    <n v="0"/>
    <s v="C"/>
    <n v="1"/>
    <n v="0"/>
    <n v="0"/>
    <s v="ручное"/>
    <n v="149.5"/>
    <n v="85"/>
    <n v="76.5"/>
    <n v="4"/>
    <n v="-20"/>
  </r>
  <r>
    <n v="155757762"/>
    <x v="0"/>
    <s v="XINGX SD/SC326 326 л белый"/>
    <x v="26"/>
    <n v="326"/>
    <x v="5"/>
    <s v=" белый"/>
    <x v="4"/>
    <n v="218479"/>
    <n v="0"/>
    <n v="0"/>
    <n v="0"/>
    <n v="0"/>
    <s v="C"/>
    <n v="3"/>
    <n v="5"/>
    <n v="0"/>
    <s v="Defrost"/>
    <n v="125"/>
    <n v="90"/>
    <n v="60"/>
    <n v="3"/>
    <n v="-18"/>
  </r>
  <r>
    <n v="144491862"/>
    <x v="0"/>
    <s v="MK-100 700 л серый"/>
    <x v="5"/>
    <n v="700"/>
    <x v="3"/>
    <s v=" серый"/>
    <x v="4"/>
    <n v="408600"/>
    <n v="0"/>
    <n v="0"/>
    <n v="0"/>
    <n v="0"/>
    <s v="C"/>
    <n v="1"/>
    <n v="0"/>
    <n v="0"/>
    <s v="ручное"/>
    <n v="74"/>
    <n v="87"/>
    <n v="45"/>
    <n v="0"/>
    <n v="-18"/>
  </r>
  <r>
    <n v="2800259"/>
    <x v="0"/>
    <s v="Снеж МЛГ-600 551 л белый"/>
    <x v="35"/>
    <n v="551"/>
    <x v="2"/>
    <s v=" белый"/>
    <x v="4"/>
    <n v="458000"/>
    <n v="0"/>
    <n v="0"/>
    <n v="0"/>
    <n v="0"/>
    <s v="C"/>
    <n v="1"/>
    <n v="4.4000000000000004"/>
    <n v="8"/>
    <s v="ручное"/>
    <n v="160"/>
    <n v="80"/>
    <n v="60"/>
    <n v="6"/>
    <n v="0"/>
  </r>
  <r>
    <n v="156863274"/>
    <x v="1"/>
    <s v="Platinium PLM-500W 500 л белый"/>
    <x v="19"/>
    <n v="500"/>
    <x v="2"/>
    <s v=" белый"/>
    <x v="4"/>
    <n v="231990"/>
    <n v="0"/>
    <n v="0"/>
    <n v="0"/>
    <n v="0"/>
    <s v="C"/>
    <n v="3"/>
    <n v="0"/>
    <n v="0"/>
    <s v="Defrost"/>
    <n v="140"/>
    <n v="71"/>
    <n v="89"/>
    <n v="0"/>
    <n v="-18"/>
  </r>
  <r>
    <n v="148807903"/>
    <x v="1"/>
    <s v="Aucma BC/BD(W)-500KFW 500 л белый"/>
    <x v="14"/>
    <n v="500"/>
    <x v="2"/>
    <s v=" белый"/>
    <x v="4"/>
    <n v="199990"/>
    <n v="0"/>
    <n v="0"/>
    <n v="0"/>
    <n v="0"/>
    <s v="C"/>
    <n v="2"/>
    <n v="5"/>
    <n v="1"/>
    <s v="Defrost"/>
    <n v="145.19999999999999"/>
    <n v="88.5"/>
    <n v="76"/>
    <n v="0"/>
    <n v="-17"/>
  </r>
  <r>
    <n v="148461790"/>
    <x v="0"/>
    <s v="Морозильник FROX Frox FROX SB-SD 640 L черный, серый, желтый 640 л желтый"/>
    <x v="17"/>
    <n v="640"/>
    <x v="1"/>
    <s v="желтый"/>
    <x v="4"/>
    <n v="410000"/>
    <n v="0"/>
    <n v="0"/>
    <n v="0"/>
    <n v="0"/>
    <s v="C"/>
    <n v="1"/>
    <n v="0"/>
    <n v="0"/>
    <s v="Defrost"/>
    <n v="180"/>
    <n v="85"/>
    <n v="77"/>
    <n v="6"/>
    <n v="-22"/>
  </r>
  <r>
    <n v="148982330"/>
    <x v="0"/>
    <s v="Haier SD-325FPEL 320 л белый"/>
    <x v="7"/>
    <n v="320"/>
    <x v="5"/>
    <s v="белый"/>
    <x v="4"/>
    <n v="259990"/>
    <n v="0"/>
    <n v="0"/>
    <n v="0"/>
    <n v="0"/>
    <s v="C"/>
    <n v="1"/>
    <n v="0"/>
    <n v="0"/>
    <s v="ручное"/>
    <n v="107.5"/>
    <n v="81.8"/>
    <n v="65"/>
    <n v="4"/>
    <n v="-24"/>
  </r>
  <r>
    <n v="2800214"/>
    <x v="1"/>
    <s v="FROSTOR F800SD 650 л белый"/>
    <x v="18"/>
    <n v="650"/>
    <x v="1"/>
    <s v="белый"/>
    <x v="4"/>
    <n v="580000"/>
    <n v="0"/>
    <n v="0"/>
    <n v="0"/>
    <n v="0"/>
    <s v="C"/>
    <n v="1"/>
    <n v="0"/>
    <n v="0"/>
    <s v="ручное"/>
    <n v="182"/>
    <n v="92"/>
    <n v="62"/>
    <n v="4"/>
    <n v="-22"/>
  </r>
  <r>
    <n v="114881099"/>
    <x v="0"/>
    <s v="Haier SD-336AELUA 331 л белый"/>
    <x v="7"/>
    <n v="331"/>
    <x v="5"/>
    <s v="белый"/>
    <x v="4"/>
    <n v="405000"/>
    <n v="0"/>
    <n v="0"/>
    <n v="0"/>
    <n v="0"/>
    <s v="C"/>
    <n v="1"/>
    <n v="0"/>
    <n v="0"/>
    <s v="ручное"/>
    <n v="107"/>
    <n v="85"/>
    <n v="65"/>
    <n v="4"/>
    <n v="-24"/>
  </r>
  <r>
    <n v="100619981"/>
    <x v="0"/>
    <s v="FROSTOR Gellar FG 700 C 590 л красный"/>
    <x v="18"/>
    <n v="590"/>
    <x v="2"/>
    <s v="красный"/>
    <x v="4"/>
    <n v="480000"/>
    <n v="0"/>
    <n v="0"/>
    <n v="0"/>
    <n v="0"/>
    <s v="C"/>
    <n v="1"/>
    <n v="4.8499999999999996"/>
    <n v="42"/>
    <s v="ручное"/>
    <n v="181"/>
    <n v="85"/>
    <n v="60"/>
    <n v="8"/>
    <n v="-25"/>
  </r>
  <r>
    <n v="143838104"/>
    <x v="0"/>
    <s v="Морозильник Muxxed SD/SC-205Y 205 л белый"/>
    <x v="3"/>
    <n v="205"/>
    <x v="4"/>
    <s v="белый"/>
    <x v="4"/>
    <n v="137400"/>
    <n v="0"/>
    <n v="0"/>
    <n v="0"/>
    <n v="0"/>
    <s v="C"/>
    <n v="1"/>
    <n v="4.9000000000000004"/>
    <n v="22"/>
    <s v="ручное"/>
    <n v="100"/>
    <n v="77"/>
    <n v="50"/>
    <n v="4"/>
    <n v="-18"/>
  </r>
  <r>
    <n v="148880716"/>
    <x v="0"/>
    <s v="FROX SD-SC-700BY 725 л серый"/>
    <x v="17"/>
    <n v="725"/>
    <x v="3"/>
    <s v="серый"/>
    <x v="4"/>
    <n v="420000"/>
    <n v="0"/>
    <n v="0"/>
    <n v="0"/>
    <n v="0"/>
    <s v="C"/>
    <n v="1"/>
    <n v="0"/>
    <n v="0"/>
    <s v="Defrost"/>
    <n v="200"/>
    <n v="85"/>
    <n v="75"/>
    <n v="6"/>
    <n v="-22"/>
  </r>
  <r>
    <n v="147291509"/>
    <x v="1"/>
    <s v="Blesk BL-718BD 708 л белый"/>
    <x v="38"/>
    <n v="708"/>
    <x v="3"/>
    <s v=" белый"/>
    <x v="4"/>
    <n v="361760"/>
    <n v="0"/>
    <n v="0"/>
    <n v="0"/>
    <n v="0"/>
    <s v="B"/>
    <n v="6"/>
    <n v="5"/>
    <n v="2"/>
    <s v="ручное"/>
    <n v="211"/>
    <n v="80"/>
    <n v="79"/>
    <n v="2"/>
    <n v="0"/>
  </r>
  <r>
    <n v="155437333"/>
    <x v="0"/>
    <s v="FROX SD/SC-800 800 л золотистый"/>
    <x v="17"/>
    <n v="800"/>
    <x v="8"/>
    <s v=" золотистый"/>
    <x v="4"/>
    <n v="420000"/>
    <n v="0"/>
    <n v="0"/>
    <n v="0"/>
    <n v="0"/>
    <s v="B"/>
    <n v="1"/>
    <n v="0"/>
    <n v="0"/>
    <s v="Defrost"/>
    <n v="200"/>
    <n v="85"/>
    <n v="80"/>
    <n v="6"/>
    <n v="-26"/>
  </r>
  <r>
    <n v="159645113"/>
    <x v="2"/>
    <s v="Foodatlas FA1200-MOR 1200 л серый"/>
    <x v="37"/>
    <n v="1200"/>
    <x v="6"/>
    <s v=" серый"/>
    <x v="4"/>
    <n v="628990"/>
    <n v="0"/>
    <n v="0"/>
    <n v="0"/>
    <n v="0"/>
    <s v="B"/>
    <n v="1"/>
    <n v="5"/>
    <n v="1"/>
    <s v="ручное"/>
    <n v="120"/>
    <n v="196"/>
    <n v="76"/>
    <n v="0"/>
    <n v="-15"/>
  </r>
  <r>
    <n v="104045575"/>
    <x v="0"/>
    <s v="FROSTOR F 2500 B 999 л белый"/>
    <x v="18"/>
    <n v="999"/>
    <x v="10"/>
    <s v=" белый"/>
    <x v="4"/>
    <n v="950000"/>
    <n v="0"/>
    <n v="0"/>
    <n v="0"/>
    <n v="0"/>
    <s v="B"/>
    <n v="1"/>
    <n v="4.7"/>
    <n v="7"/>
    <s v="ручное"/>
    <n v="250"/>
    <n v="75"/>
    <n v="87"/>
    <n v="12"/>
    <n v="-25"/>
  </r>
  <r>
    <n v="116443890"/>
    <x v="2"/>
    <s v="Prokitchen ХШН-2/1200С 1200 л белый"/>
    <x v="15"/>
    <n v="1200"/>
    <x v="6"/>
    <s v=" белый"/>
    <x v="4"/>
    <n v="955500"/>
    <n v="0"/>
    <n v="0"/>
    <n v="0"/>
    <n v="0"/>
    <s v="B"/>
    <n v="1"/>
    <n v="0"/>
    <n v="0"/>
    <s v="Defrost"/>
    <n v="140"/>
    <n v="215"/>
    <n v="70"/>
    <n v="0"/>
    <n v="-18"/>
  </r>
  <r>
    <n v="121623694"/>
    <x v="0"/>
    <s v="Bonvini BFL 2500 1300 л белый, серый"/>
    <x v="16"/>
    <n v="1300"/>
    <x v="13"/>
    <s v=" белый, серый"/>
    <x v="4"/>
    <n v="809545"/>
    <n v="0"/>
    <n v="0"/>
    <n v="0"/>
    <n v="0"/>
    <s v="B"/>
    <n v="2"/>
    <n v="0"/>
    <n v="0"/>
    <s v="ручное"/>
    <n v="250"/>
    <n v="85"/>
    <n v="96"/>
    <n v="0"/>
    <n v="-25"/>
  </r>
  <r>
    <n v="122619339"/>
    <x v="0"/>
    <s v="Bonvini BFL2500 1300 л красный"/>
    <x v="16"/>
    <n v="1300"/>
    <x v="13"/>
    <s v="красный"/>
    <x v="4"/>
    <n v="995000"/>
    <n v="0"/>
    <n v="0"/>
    <n v="0"/>
    <n v="0"/>
    <s v="B"/>
    <n v="1"/>
    <n v="5"/>
    <n v="1"/>
    <s v="Defrost"/>
    <n v="275"/>
    <n v="102"/>
    <n v="104"/>
    <n v="6"/>
    <n v="-25"/>
  </r>
  <r>
    <n v="114109997"/>
    <x v="1"/>
    <s v="FROSTOR F 800 SD 800 л белый, серый"/>
    <x v="18"/>
    <n v="800"/>
    <x v="8"/>
    <s v=" белый, серый"/>
    <x v="4"/>
    <n v="550000"/>
    <n v="0"/>
    <n v="0"/>
    <n v="0"/>
    <n v="0"/>
    <s v="B"/>
    <n v="1"/>
    <n v="4.43"/>
    <n v="4"/>
    <s v="ручное"/>
    <n v="200"/>
    <n v="84"/>
    <n v="60"/>
    <n v="8"/>
    <n v="-22"/>
  </r>
  <r>
    <n v="138886748"/>
    <x v="2"/>
    <s v="Foodsense VF-600L 600 л стальной"/>
    <x v="21"/>
    <n v="600"/>
    <x v="1"/>
    <s v="стальной"/>
    <x v="4"/>
    <n v="406820"/>
    <n v="0"/>
    <n v="0"/>
    <n v="0"/>
    <n v="0"/>
    <s v="C"/>
    <n v="7"/>
    <n v="5"/>
    <n v="4"/>
    <s v="ручное"/>
    <n v="60"/>
    <n v="196"/>
    <n v="76"/>
    <n v="0"/>
    <n v="-14"/>
  </r>
  <r>
    <n v="100619981"/>
    <x v="0"/>
    <s v="FROSTOR Gellar FG 700 C 590 л красный"/>
    <x v="18"/>
    <n v="590"/>
    <x v="2"/>
    <s v="красный"/>
    <x v="4"/>
    <n v="480000"/>
    <n v="0"/>
    <n v="0"/>
    <n v="0"/>
    <n v="0"/>
    <s v="C"/>
    <n v="1"/>
    <n v="4.8499999999999996"/>
    <n v="42"/>
    <s v="ручное"/>
    <n v="181"/>
    <n v="85"/>
    <n v="60"/>
    <n v="8"/>
    <n v="-25"/>
  </r>
  <r>
    <n v="2800214"/>
    <x v="1"/>
    <s v="FROSTOR F800SD 650 л белый"/>
    <x v="18"/>
    <n v="650"/>
    <x v="1"/>
    <s v="белый"/>
    <x v="4"/>
    <n v="580000"/>
    <n v="0"/>
    <n v="0"/>
    <n v="0"/>
    <n v="0"/>
    <s v="C"/>
    <n v="1"/>
    <n v="0"/>
    <n v="0"/>
    <s v="ручное"/>
    <n v="182"/>
    <n v="92"/>
    <n v="62"/>
    <n v="4"/>
    <n v="-22"/>
  </r>
  <r>
    <n v="153722102"/>
    <x v="1"/>
    <s v="Rebus RIF-700S 700 л серый"/>
    <x v="22"/>
    <n v="700"/>
    <x v="3"/>
    <s v=" серый"/>
    <x v="4"/>
    <n v="296908"/>
    <n v="0"/>
    <n v="0"/>
    <n v="0"/>
    <n v="0"/>
    <s v="B"/>
    <n v="6"/>
    <n v="5"/>
    <n v="1"/>
    <s v="Defrost"/>
    <n v="193"/>
    <n v="82.5"/>
    <n v="71"/>
    <n v="0"/>
    <n v="0"/>
  </r>
  <r>
    <n v="121205888"/>
    <x v="2"/>
    <s v="AOLIEGE HZRL4 800 л серебристый"/>
    <x v="25"/>
    <n v="800"/>
    <x v="8"/>
    <s v=" серебристый"/>
    <x v="4"/>
    <n v="391900"/>
    <n v="0"/>
    <n v="0"/>
    <n v="0"/>
    <n v="0"/>
    <s v="B"/>
    <n v="2"/>
    <n v="5"/>
    <n v="2"/>
    <s v="Defrost"/>
    <n v="60"/>
    <n v="196"/>
    <n v="76"/>
    <n v="0"/>
    <n v="-14"/>
  </r>
  <r>
    <n v="131172629"/>
    <x v="0"/>
    <s v="XINGX SD/SC-1000BY 1000 л серый, мультиколор"/>
    <x v="26"/>
    <n v="1000"/>
    <x v="0"/>
    <s v=" серый, мультиколор"/>
    <x v="4"/>
    <n v="649980"/>
    <n v="0"/>
    <n v="0"/>
    <n v="0"/>
    <n v="0"/>
    <s v="B"/>
    <n v="1"/>
    <n v="5"/>
    <n v="1"/>
    <s v="Defrost"/>
    <n v="250"/>
    <n v="85"/>
    <n v="85"/>
    <n v="8"/>
    <n v="-18"/>
  </r>
  <r>
    <n v="138886748"/>
    <x v="2"/>
    <s v="Foodsense VF-600L 600 л стальной"/>
    <x v="21"/>
    <n v="600"/>
    <x v="1"/>
    <s v="стальной"/>
    <x v="4"/>
    <n v="406820"/>
    <n v="0"/>
    <n v="0"/>
    <n v="0"/>
    <n v="0"/>
    <s v="C"/>
    <n v="7"/>
    <n v="5"/>
    <n v="4"/>
    <s v="ручное"/>
    <n v="60"/>
    <n v="196"/>
    <n v="76"/>
    <n v="0"/>
    <n v="-14"/>
  </r>
  <r>
    <n v="110555381"/>
    <x v="1"/>
    <s v="FROSTOR F 700 S 700 л белый-серый"/>
    <x v="18"/>
    <n v="700"/>
    <x v="3"/>
    <s v="белый-серый"/>
    <x v="4"/>
    <n v="480000"/>
    <n v="0"/>
    <n v="0"/>
    <n v="0"/>
    <n v="0"/>
    <s v="C"/>
    <n v="1"/>
    <n v="4.8899999999999997"/>
    <n v="2"/>
    <s v="ручное"/>
    <n v="180"/>
    <n v="84"/>
    <n v="60"/>
    <n v="3"/>
    <n v="-22"/>
  </r>
  <r>
    <n v="155336923"/>
    <x v="0"/>
    <s v="LUX SD/SC-BYH2000 900 л черный, серый"/>
    <x v="24"/>
    <n v="900"/>
    <x v="10"/>
    <s v=" черный, серый"/>
    <x v="4"/>
    <n v="450000"/>
    <n v="0"/>
    <n v="0"/>
    <n v="0"/>
    <n v="0"/>
    <s v="C"/>
    <n v="1"/>
    <n v="0"/>
    <n v="0"/>
    <s v="Defrost"/>
    <n v="200"/>
    <n v="85"/>
    <n v="88"/>
    <n v="7"/>
    <n v="-26"/>
  </r>
  <r>
    <n v="113187256"/>
    <x v="0"/>
    <s v="FROSTOR F 500 C 500 л серый-белый"/>
    <x v="18"/>
    <n v="500"/>
    <x v="2"/>
    <s v=" серый-белый"/>
    <x v="4"/>
    <n v="395000"/>
    <n v="0"/>
    <n v="0"/>
    <n v="0"/>
    <n v="0"/>
    <s v="C"/>
    <n v="1"/>
    <n v="4.3"/>
    <n v="4"/>
    <s v="ручное"/>
    <n v="140"/>
    <n v="84"/>
    <n v="60"/>
    <n v="5"/>
    <n v="-22"/>
  </r>
  <r>
    <n v="100843154"/>
    <x v="1"/>
    <s v="FROSTOR F 600 S 510 л белый"/>
    <x v="18"/>
    <n v="600"/>
    <x v="1"/>
    <s v=" белый"/>
    <x v="4"/>
    <n v="440000"/>
    <n v="0"/>
    <n v="0"/>
    <n v="0"/>
    <n v="0"/>
    <s v="C"/>
    <n v="1"/>
    <n v="4.4000000000000004"/>
    <n v="4"/>
    <s v="No Frost"/>
    <n v="160"/>
    <n v="82"/>
    <n v="60"/>
    <n v="0"/>
    <n v="0"/>
  </r>
  <r>
    <n v="143838104"/>
    <x v="0"/>
    <s v="Морозильник Muxxed SD/SC-205Y 205 л белый"/>
    <x v="3"/>
    <n v="205"/>
    <x v="4"/>
    <s v="белый"/>
    <x v="4"/>
    <n v="137400"/>
    <n v="0"/>
    <n v="0"/>
    <n v="0"/>
    <n v="0"/>
    <s v="C"/>
    <n v="1"/>
    <n v="4.9000000000000004"/>
    <n v="22"/>
    <s v="ручное"/>
    <n v="100"/>
    <n v="77"/>
    <n v="50"/>
    <n v="4"/>
    <n v="-18"/>
  </r>
  <r>
    <n v="148880716"/>
    <x v="0"/>
    <s v="FROX SD-SC-700BY 725 л серый"/>
    <x v="17"/>
    <n v="725"/>
    <x v="3"/>
    <s v="серый"/>
    <x v="4"/>
    <n v="420000"/>
    <n v="0"/>
    <n v="0"/>
    <n v="0"/>
    <n v="0"/>
    <s v="C"/>
    <n v="1"/>
    <n v="0"/>
    <n v="0"/>
    <s v="Defrost"/>
    <n v="200"/>
    <n v="85"/>
    <n v="75"/>
    <n v="6"/>
    <n v="-22"/>
  </r>
  <r>
    <n v="147291509"/>
    <x v="1"/>
    <s v="Blesk BL-718BD 708 л белый"/>
    <x v="38"/>
    <n v="708"/>
    <x v="3"/>
    <s v=" белый"/>
    <x v="4"/>
    <n v="361760"/>
    <n v="0"/>
    <n v="0"/>
    <n v="0"/>
    <n v="0"/>
    <s v="B"/>
    <n v="6"/>
    <n v="5"/>
    <n v="2"/>
    <s v="ручное"/>
    <n v="211"/>
    <n v="80"/>
    <n v="79"/>
    <n v="2"/>
    <n v="0"/>
  </r>
  <r>
    <n v="155437333"/>
    <x v="0"/>
    <s v="FROX SD/SC-800 800 л золотистый"/>
    <x v="17"/>
    <n v="800"/>
    <x v="8"/>
    <s v=" золотистый"/>
    <x v="4"/>
    <n v="420000"/>
    <n v="0"/>
    <n v="0"/>
    <n v="0"/>
    <n v="0"/>
    <s v="B"/>
    <n v="1"/>
    <n v="0"/>
    <n v="0"/>
    <s v="Defrost"/>
    <n v="200"/>
    <n v="85"/>
    <n v="80"/>
    <n v="6"/>
    <n v="-26"/>
  </r>
  <r>
    <n v="159645113"/>
    <x v="2"/>
    <s v="Foodatlas FA1200-MOR 1200 л серый"/>
    <x v="37"/>
    <n v="1200"/>
    <x v="6"/>
    <s v=" серый"/>
    <x v="4"/>
    <n v="628990"/>
    <n v="0"/>
    <n v="0"/>
    <n v="0"/>
    <n v="0"/>
    <s v="B"/>
    <n v="1"/>
    <n v="5"/>
    <n v="1"/>
    <s v="ручное"/>
    <n v="120"/>
    <n v="196"/>
    <n v="76"/>
    <n v="0"/>
    <n v="-15"/>
  </r>
  <r>
    <n v="104045575"/>
    <x v="0"/>
    <s v="FROSTOR F 2500 B 999 л белый"/>
    <x v="18"/>
    <n v="999"/>
    <x v="10"/>
    <s v=" белый"/>
    <x v="4"/>
    <n v="950000"/>
    <n v="0"/>
    <n v="0"/>
    <n v="0"/>
    <n v="0"/>
    <s v="B"/>
    <n v="1"/>
    <n v="4.7"/>
    <n v="7"/>
    <s v="ручное"/>
    <n v="250"/>
    <n v="75"/>
    <n v="87"/>
    <n v="12"/>
    <n v="-25"/>
  </r>
  <r>
    <n v="114881099"/>
    <x v="0"/>
    <s v="Haier SD-336AELUA 331 л белый"/>
    <x v="7"/>
    <n v="331"/>
    <x v="5"/>
    <s v="белый"/>
    <x v="4"/>
    <n v="405000"/>
    <n v="0"/>
    <n v="0"/>
    <n v="0"/>
    <n v="0"/>
    <s v="C"/>
    <n v="1"/>
    <n v="0"/>
    <n v="0"/>
    <s v="ручное"/>
    <n v="107"/>
    <n v="85"/>
    <n v="65"/>
    <n v="4"/>
    <n v="-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4A1F82-DFD8-42DC-B04B-ACF75F8A9C87}" name="Сводная таблица3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rowHeaderCaption="Бренд ">
  <location ref="AZ1:BD48" firstHeaderRow="0" firstDataRow="1" firstDataCol="1"/>
  <pivotFields count="23">
    <pivotField showAll="0"/>
    <pivotField showAll="0">
      <items count="5">
        <item x="0"/>
        <item x="1"/>
        <item x="2"/>
        <item x="3"/>
        <item t="default"/>
      </items>
    </pivotField>
    <pivotField showAll="0"/>
    <pivotField axis="axisRow" showAll="0" sortType="descending">
      <items count="47">
        <item x="44"/>
        <item x="20"/>
        <item x="25"/>
        <item x="14"/>
        <item x="41"/>
        <item x="2"/>
        <item x="39"/>
        <item x="28"/>
        <item x="42"/>
        <item x="38"/>
        <item x="16"/>
        <item x="43"/>
        <item x="37"/>
        <item x="21"/>
        <item x="9"/>
        <item x="18"/>
        <item x="17"/>
        <item x="45"/>
        <item x="27"/>
        <item x="7"/>
        <item x="23"/>
        <item x="40"/>
        <item x="36"/>
        <item x="31"/>
        <item x="13"/>
        <item x="24"/>
        <item x="6"/>
        <item x="3"/>
        <item x="4"/>
        <item x="8"/>
        <item x="19"/>
        <item x="12"/>
        <item x="11"/>
        <item x="15"/>
        <item x="22"/>
        <item x="34"/>
        <item x="29"/>
        <item x="32"/>
        <item x="0"/>
        <item x="30"/>
        <item x="26"/>
        <item x="10"/>
        <item x="5"/>
        <item x="1"/>
        <item x="33"/>
        <item x="35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showAll="0">
      <items count="20">
        <item x="18"/>
        <item x="15"/>
        <item x="0"/>
        <item x="11"/>
        <item x="14"/>
        <item x="6"/>
        <item x="13"/>
        <item x="9"/>
        <item x="7"/>
        <item x="16"/>
        <item x="17"/>
        <item x="4"/>
        <item x="5"/>
        <item x="12"/>
        <item x="2"/>
        <item x="1"/>
        <item x="3"/>
        <item x="8"/>
        <item x="10"/>
        <item t="default"/>
      </items>
    </pivotField>
    <pivotField showAll="0"/>
    <pivotField showAll="0">
      <items count="6">
        <item x="0"/>
        <item x="1"/>
        <item x="2"/>
        <item x="4"/>
        <item x="3"/>
        <item t="default"/>
      </items>
    </pivotField>
    <pivotField numFmtId="3" showAll="0"/>
    <pivotField dataField="1" showAll="0"/>
    <pivotField numFmtId="9" showAll="0"/>
    <pivotField dataField="1" numFmtId="3" showAll="0"/>
    <pivotField numFmtId="9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7">
    <i>
      <x v="5"/>
    </i>
    <i>
      <x v="38"/>
    </i>
    <i>
      <x v="43"/>
    </i>
    <i>
      <x v="14"/>
    </i>
    <i>
      <x v="37"/>
    </i>
    <i>
      <x v="28"/>
    </i>
    <i>
      <x v="16"/>
    </i>
    <i>
      <x v="3"/>
    </i>
    <i>
      <x v="19"/>
    </i>
    <i>
      <x v="27"/>
    </i>
    <i>
      <x v="30"/>
    </i>
    <i>
      <x v="26"/>
    </i>
    <i>
      <x v="42"/>
    </i>
    <i>
      <x v="1"/>
    </i>
    <i>
      <x v="32"/>
    </i>
    <i>
      <x v="15"/>
    </i>
    <i>
      <x v="25"/>
    </i>
    <i>
      <x v="29"/>
    </i>
    <i>
      <x v="34"/>
    </i>
    <i>
      <x v="44"/>
    </i>
    <i>
      <x v="40"/>
    </i>
    <i>
      <x v="24"/>
    </i>
    <i>
      <x v="13"/>
    </i>
    <i>
      <x v="41"/>
    </i>
    <i>
      <x v="2"/>
    </i>
    <i>
      <x v="36"/>
    </i>
    <i>
      <x v="10"/>
    </i>
    <i>
      <x/>
    </i>
    <i>
      <x v="20"/>
    </i>
    <i>
      <x v="35"/>
    </i>
    <i>
      <x v="45"/>
    </i>
    <i>
      <x v="12"/>
    </i>
    <i>
      <x v="33"/>
    </i>
    <i>
      <x v="8"/>
    </i>
    <i>
      <x v="22"/>
    </i>
    <i>
      <x v="31"/>
    </i>
    <i>
      <x v="18"/>
    </i>
    <i>
      <x v="39"/>
    </i>
    <i>
      <x v="7"/>
    </i>
    <i>
      <x v="9"/>
    </i>
    <i>
      <x v="6"/>
    </i>
    <i>
      <x v="11"/>
    </i>
    <i>
      <x v="17"/>
    </i>
    <i>
      <x v="21"/>
    </i>
    <i>
      <x v="4"/>
    </i>
    <i>
      <x v="2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Штуки " fld="9" baseField="3" baseItem="5"/>
    <dataField name="Штуки %" fld="9" showDataAs="percentOfCol" baseField="0" baseItem="0" numFmtId="9"/>
    <dataField name="Выручка " fld="11" baseField="3" baseItem="5" numFmtId="3"/>
    <dataField name="Выручка %" fld="11" showDataAs="percentOfCol" baseField="0" baseItem="0" numFmtId="10"/>
  </dataFields>
  <formats count="2">
    <format dxfId="2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4">
      <pivotArea outline="0" fieldPosition="0">
        <references count="1">
          <reference field="4294967294" count="1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921A48-49AB-400C-9B25-9C571E44AC92}" name="Сводная таблица2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rowHeaderCaption="Ветка">
  <location ref="Y2:AC22" firstHeaderRow="0" firstDataRow="1" firstDataCol="1"/>
  <pivotFields count="23">
    <pivotField showAll="0"/>
    <pivotField showAll="0">
      <items count="5">
        <item x="0"/>
        <item x="1"/>
        <item x="2"/>
        <item x="3"/>
        <item t="default"/>
      </items>
    </pivotField>
    <pivotField showAll="0"/>
    <pivotField showAll="0">
      <items count="47">
        <item x="44"/>
        <item x="20"/>
        <item x="25"/>
        <item x="14"/>
        <item x="41"/>
        <item x="2"/>
        <item x="39"/>
        <item x="28"/>
        <item x="42"/>
        <item x="38"/>
        <item x="16"/>
        <item x="43"/>
        <item x="37"/>
        <item x="21"/>
        <item x="9"/>
        <item x="18"/>
        <item x="17"/>
        <item x="45"/>
        <item x="27"/>
        <item x="7"/>
        <item x="23"/>
        <item x="40"/>
        <item x="36"/>
        <item x="31"/>
        <item x="13"/>
        <item x="24"/>
        <item x="6"/>
        <item x="3"/>
        <item x="4"/>
        <item x="8"/>
        <item x="19"/>
        <item x="12"/>
        <item x="11"/>
        <item x="15"/>
        <item x="22"/>
        <item x="34"/>
        <item x="29"/>
        <item x="32"/>
        <item x="0"/>
        <item x="30"/>
        <item x="26"/>
        <item x="10"/>
        <item x="5"/>
        <item x="1"/>
        <item x="33"/>
        <item x="35"/>
        <item t="default"/>
      </items>
    </pivotField>
    <pivotField showAll="0"/>
    <pivotField axis="axisRow" showAll="0" sortType="descending">
      <items count="20">
        <item x="18"/>
        <item x="15"/>
        <item x="0"/>
        <item x="11"/>
        <item x="14"/>
        <item x="6"/>
        <item x="13"/>
        <item x="9"/>
        <item x="7"/>
        <item x="16"/>
        <item x="17"/>
        <item x="4"/>
        <item x="5"/>
        <item x="12"/>
        <item x="2"/>
        <item x="1"/>
        <item x="3"/>
        <item x="8"/>
        <item x="10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showAll="0">
      <items count="6">
        <item x="0"/>
        <item x="1"/>
        <item x="2"/>
        <item x="4"/>
        <item x="3"/>
        <item t="default"/>
      </items>
    </pivotField>
    <pivotField numFmtId="3" showAll="0"/>
    <pivotField dataField="1" showAll="0"/>
    <pivotField numFmtId="9" showAll="0"/>
    <pivotField dataField="1" numFmtId="3" showAll="0"/>
    <pivotField numFmtId="9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20">
    <i>
      <x v="16"/>
    </i>
    <i>
      <x v="14"/>
    </i>
    <i>
      <x v="12"/>
    </i>
    <i>
      <x v="15"/>
    </i>
    <i>
      <x v="3"/>
    </i>
    <i>
      <x v="11"/>
    </i>
    <i>
      <x v="2"/>
    </i>
    <i>
      <x v="17"/>
    </i>
    <i>
      <x v="13"/>
    </i>
    <i>
      <x v="5"/>
    </i>
    <i>
      <x v="6"/>
    </i>
    <i>
      <x v="8"/>
    </i>
    <i>
      <x v="7"/>
    </i>
    <i>
      <x v="18"/>
    </i>
    <i>
      <x v="4"/>
    </i>
    <i>
      <x v="9"/>
    </i>
    <i>
      <x v="1"/>
    </i>
    <i>
      <x/>
    </i>
    <i>
      <x v="10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Штуки " fld="9" baseField="5" baseItem="14"/>
    <dataField name="Штуки %" fld="9" showDataAs="percentOfCol" baseField="0" baseItem="0" numFmtId="10"/>
    <dataField name="Выручка " fld="11" baseField="5" baseItem="14" numFmtId="3"/>
    <dataField name="Выручка %" fld="11" showDataAs="percentOfCol" baseField="0" baseItem="0" numFmtId="9"/>
  </dataFields>
  <formats count="3">
    <format dxfId="28">
      <pivotArea collapsedLevelsAreSubtotals="1" fieldPosition="0">
        <references count="2">
          <reference field="4294967294" count="1" selected="0">
            <x v="1"/>
          </reference>
          <reference field="5" count="0"/>
        </references>
      </pivotArea>
    </format>
    <format dxfId="27">
      <pivotArea outline="0" fieldPosition="0">
        <references count="1">
          <reference field="4294967294" count="1">
            <x v="3"/>
          </reference>
        </references>
      </pivotArea>
    </format>
    <format dxfId="26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Месяц1" xr10:uid="{5F922144-D0ED-42E5-8D5F-1ACE8024D8C8}" sourceName="Месяц">
  <pivotTables>
    <pivotTable tabId="1" name="Сводная таблица2"/>
  </pivotTables>
  <data>
    <tabular pivotCacheId="533436147">
      <items count="5">
        <i x="0" s="1"/>
        <i x="1" s="1"/>
        <i x="2" s="1"/>
        <i x="4" s="1"/>
        <i x="3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Тип1" xr10:uid="{1C281310-CA6A-4B06-8599-2150972FE412}" sourceName="Тип">
  <pivotTables>
    <pivotTable tabId="1" name="Сводная таблица3"/>
  </pivotTables>
  <data>
    <tabular pivotCacheId="533436147">
      <items count="4">
        <i x="0" s="1"/>
        <i x="1" s="1"/>
        <i x="2" s="1"/>
        <i x="3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Тип2" xr10:uid="{DBB5091C-228C-42BA-B2D3-724CEAA4F3DB}" sourceName="Тип">
  <pivotTables>
    <pivotTable tabId="1" name="Сводная таблица2"/>
  </pivotTables>
  <data>
    <tabular pivotCacheId="533436147">
      <items count="4">
        <i x="0" s="1"/>
        <i x="1" s="1"/>
        <i x="2" s="1"/>
        <i x="3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БРЕНД1" xr10:uid="{D56EB66C-21A8-4595-96EE-5AAD8A53A7EC}" sourceName="БРЕНД">
  <pivotTables>
    <pivotTable tabId="1" name="Сводная таблица2"/>
  </pivotTables>
  <data>
    <tabular pivotCacheId="533436147">
      <items count="46">
        <i x="44" s="1"/>
        <i x="20" s="1"/>
        <i x="25" s="1"/>
        <i x="14" s="1"/>
        <i x="41" s="1"/>
        <i x="2" s="1"/>
        <i x="39" s="1"/>
        <i x="28" s="1"/>
        <i x="42" s="1"/>
        <i x="38" s="1"/>
        <i x="16" s="1"/>
        <i x="43" s="1"/>
        <i x="37" s="1"/>
        <i x="21" s="1"/>
        <i x="9" s="1"/>
        <i x="18" s="1"/>
        <i x="17" s="1"/>
        <i x="45" s="1"/>
        <i x="27" s="1"/>
        <i x="7" s="1"/>
        <i x="23" s="1"/>
        <i x="40" s="1"/>
        <i x="36" s="1"/>
        <i x="31" s="1"/>
        <i x="13" s="1"/>
        <i x="24" s="1"/>
        <i x="6" s="1"/>
        <i x="3" s="1"/>
        <i x="4" s="1"/>
        <i x="8" s="1"/>
        <i x="19" s="1"/>
        <i x="12" s="1"/>
        <i x="11" s="1"/>
        <i x="15" s="1"/>
        <i x="22" s="1"/>
        <i x="34" s="1"/>
        <i x="29" s="1"/>
        <i x="32" s="1"/>
        <i x="0" s="1"/>
        <i x="30" s="1"/>
        <i x="26" s="1"/>
        <i x="10" s="1"/>
        <i x="5" s="1"/>
        <i x="1" s="1"/>
        <i x="33" s="1"/>
        <i x="35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Ветка1" xr10:uid="{FDF4D73D-AAEC-41FC-A5BF-6FD906CC4666}" sourceName="Ветка">
  <pivotTables>
    <pivotTable tabId="1" name="Сводная таблица3"/>
  </pivotTables>
  <data>
    <tabular pivotCacheId="533436147">
      <items count="19">
        <i x="18" s="1"/>
        <i x="15" s="1"/>
        <i x="0" s="1"/>
        <i x="11" s="1"/>
        <i x="14" s="1"/>
        <i x="6" s="1"/>
        <i x="13" s="1"/>
        <i x="9" s="1"/>
        <i x="7" s="1"/>
        <i x="16" s="1"/>
        <i x="17" s="1"/>
        <i x="4" s="1"/>
        <i x="5" s="1"/>
        <i x="12" s="1"/>
        <i x="2" s="1"/>
        <i x="1" s="1"/>
        <i x="3" s="1"/>
        <i x="8" s="1"/>
        <i x="10" s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БРЕНД2" xr10:uid="{F3CCFC81-F57A-48E6-8535-87B8520519A7}" sourceName="БРЕНД">
  <pivotTables>
    <pivotTable tabId="1" name="Сводная таблица3"/>
  </pivotTables>
  <data>
    <tabular pivotCacheId="533436147">
      <items count="46">
        <i x="44" s="1"/>
        <i x="20" s="1"/>
        <i x="25" s="1"/>
        <i x="14" s="1"/>
        <i x="41" s="1"/>
        <i x="2" s="1"/>
        <i x="39" s="1"/>
        <i x="28" s="1"/>
        <i x="42" s="1"/>
        <i x="38" s="1"/>
        <i x="16" s="1"/>
        <i x="43" s="1"/>
        <i x="37" s="1"/>
        <i x="21" s="1"/>
        <i x="9" s="1"/>
        <i x="18" s="1"/>
        <i x="17" s="1"/>
        <i x="45" s="1"/>
        <i x="27" s="1"/>
        <i x="7" s="1"/>
        <i x="23" s="1"/>
        <i x="40" s="1"/>
        <i x="36" s="1"/>
        <i x="31" s="1"/>
        <i x="13" s="1"/>
        <i x="24" s="1"/>
        <i x="6" s="1"/>
        <i x="3" s="1"/>
        <i x="4" s="1"/>
        <i x="8" s="1"/>
        <i x="19" s="1"/>
        <i x="12" s="1"/>
        <i x="11" s="1"/>
        <i x="15" s="1"/>
        <i x="22" s="1"/>
        <i x="34" s="1"/>
        <i x="29" s="1"/>
        <i x="32" s="1"/>
        <i x="0" s="1"/>
        <i x="30" s="1"/>
        <i x="26" s="1"/>
        <i x="10" s="1"/>
        <i x="5" s="1"/>
        <i x="1" s="1"/>
        <i x="33" s="1"/>
        <i x="35" s="1"/>
      </items>
    </tabular>
  </data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Месяц2" xr10:uid="{6E361929-3681-4200-8AD0-AF3F6F1C67DC}" sourceName="Месяц">
  <pivotTables>
    <pivotTable tabId="1" name="Сводная таблица3"/>
  </pivotTables>
  <data>
    <tabular pivotCacheId="533436147">
      <items count="5">
        <i x="0" s="1"/>
        <i x="1" s="1"/>
        <i x="2" s="1"/>
        <i x="4" s="1"/>
        <i x="3" s="1"/>
      </items>
    </tabular>
  </data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Месяц" xr10:uid="{2544E1F3-AB0D-4482-BE3A-2452F22AEE71}" sourceName="Месяц">
  <extLst>
    <x:ext xmlns:x15="http://schemas.microsoft.com/office/spreadsheetml/2010/11/main" uri="{2F2917AC-EB37-4324-AD4E-5DD8C200BD13}">
      <x15:tableSlicerCache tableId="1" column="7"/>
    </x:ext>
  </extLst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Ветка" xr10:uid="{EFBEFFEB-D6E3-4225-AE15-7763A09AB952}" sourceName="Ветка">
  <extLst>
    <x:ext xmlns:x15="http://schemas.microsoft.com/office/spreadsheetml/2010/11/main" uri="{2F2917AC-EB37-4324-AD4E-5DD8C200BD13}">
      <x15:tableSlicerCache tableId="1" column="21"/>
    </x:ext>
  </extLst>
</slicerCacheDefinition>
</file>

<file path=xl/slicerCaches/slicerCache10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БРЕНД" xr10:uid="{90276B90-726A-40FE-BD4F-F1BDAD2FDC71}" sourceName="БРЕНД">
  <extLst>
    <x:ext xmlns:x15="http://schemas.microsoft.com/office/spreadsheetml/2010/11/main" uri="{2F2917AC-EB37-4324-AD4E-5DD8C200BD13}">
      <x15:tableSlicerCache tableId="1" column="4"/>
    </x:ext>
  </extLst>
</slicerCacheDefinition>
</file>

<file path=xl/slicerCaches/slicerCache1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Тип" xr10:uid="{B0D2EA95-137F-4107-B2FB-B846322EE872}" sourceName="Тип">
  <extLst>
    <x:ext xmlns:x15="http://schemas.microsoft.com/office/spreadsheetml/2010/11/main" uri="{2F2917AC-EB37-4324-AD4E-5DD8C200BD13}">
      <x15:tableSlicerCache tableId="1" column="2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Месяц 1" xr10:uid="{C6ECCAB6-D3D3-41C3-9D01-AC026A4C17A4}" cache="Срез_Месяц1" caption="Месяц" rowHeight="234950"/>
  <slicer name="Тип 1" xr10:uid="{18244847-1891-4AFB-B3AF-7B4B50623D81}" cache="Срез_Тип1" caption="Тип" rowHeight="234950"/>
  <slicer name="Тип 2" xr10:uid="{B7DF694A-93B8-464B-A000-202D9D65555C}" cache="Срез_Тип2" caption="Тип" rowHeight="234950"/>
  <slicer name="БРЕНД 1" xr10:uid="{F8FD6606-AAE5-466F-8251-C90D5B9A0276}" cache="Срез_БРЕНД1" caption="БРЕНД" columnCount="3" rowHeight="234950"/>
  <slicer name="Ветка 1" xr10:uid="{92AA0B4C-B157-4EDD-B7D4-C3143F4C8315}" cache="Срез_Ветка1" caption="Ветка" columnCount="2" rowHeight="234950"/>
  <slicer name="БРЕНД 2" xr10:uid="{CF2CD2F9-8480-49C6-9C69-E2E2AB2EB89B}" cache="Срез_БРЕНД2" caption="БРЕНД" columnCount="3" rowHeight="234950"/>
  <slicer name="Месяц 2" xr10:uid="{AB305AD0-5C8B-4E46-AF36-847C046D52CA}" cache="Срез_Месяц2" caption="Месяц" rowHeight="2349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Месяц" xr10:uid="{66EA436C-C75B-4AD3-9A14-8A6F63F51E1A}" cache="Срез_Месяц" caption="Месяц" rowHeight="234950"/>
  <slicer name="Ветка" xr10:uid="{51D2345E-D885-411E-8052-1D271B897858}" cache="Срез_Ветка" caption="Ветка" columnCount="3" rowHeight="234950"/>
  <slicer name="БРЕНД" xr10:uid="{66E9488E-FFCA-452B-9A02-0C1638F199ED}" cache="Срез_БРЕНД" caption="БРЕНД" columnCount="6" rowHeight="234950"/>
  <slicer name="Тип" xr10:uid="{6070212C-FDF3-400A-942A-63C44E0E67F6}" cache="Срез_Тип" caption="Тип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DBE091-A795-43C1-A161-9D649A1658EE}" name="Таблица1" displayName="Таблица1" ref="A17:W683" totalsRowShown="0" headerRowDxfId="23" dataDxfId="22">
  <autoFilter ref="A17:W683" xr:uid="{3FDBE091-A795-43C1-A161-9D649A1658EE}"/>
  <tableColumns count="23">
    <tableColumn id="1" xr3:uid="{98B6236A-2A3C-4743-A032-3119D5F40F09}" name="КОД товара" dataDxfId="21"/>
    <tableColumn id="2" xr3:uid="{71DFD414-A65D-469E-AEBF-8C54D9B2A1BC}" name="Тип" dataDxfId="20"/>
    <tableColumn id="3" xr3:uid="{6987E0C3-0CE5-40E8-A19C-2A1BD8E22A97}" name="Название товара" dataDxfId="19"/>
    <tableColumn id="4" xr3:uid="{06C07FB0-6D7F-4B71-9A36-7B42474FF7DD}" name="БРЕНД" dataDxfId="18"/>
    <tableColumn id="5" xr3:uid="{8CB51298-31B9-4303-ABB1-E4B604283885}" name="Объем" dataDxfId="17"/>
    <tableColumn id="21" xr3:uid="{82326569-8C01-40C3-8FFB-88863AAFB9F8}" name="Ветка"/>
    <tableColumn id="6" xr3:uid="{359A007E-A2F5-4706-840C-D60DF844F40C}" name="Цвет" dataDxfId="16"/>
    <tableColumn id="7" xr3:uid="{25FEE024-1233-47AA-8D90-7AF636851BAD}" name="Месяц" dataDxfId="15"/>
    <tableColumn id="8" xr3:uid="{A00E7572-3E64-4022-AD8A-D8F4F1E608EB}" name="РРЦ" dataDxfId="14"/>
    <tableColumn id="9" xr3:uid="{8BAE7029-8D0F-49F8-B561-9786FA4D9297}" name="Штуки" dataDxfId="13"/>
    <tableColumn id="22" xr3:uid="{0B5D20D3-B203-410C-B3E8-60F8F1916D87}" name="%" dataDxfId="12" dataCellStyle="Процентный">
      <calculatedColumnFormula>Таблица1[[#This Row],[Штуки]]/SUMIFS(Таблица1[Штуки],Таблица1[Ветка],Таблица1[[#This Row],[Ветка]],Таблица1[Месяц],Таблица1[[#This Row],[Месяц]])</calculatedColumnFormula>
    </tableColumn>
    <tableColumn id="10" xr3:uid="{FB05D328-87C1-46C4-ADC7-F7085AD95394}" name="Выручка" dataDxfId="11"/>
    <tableColumn id="23" xr3:uid="{2E68589C-7998-4A11-8E3B-8C70D6C9147A}" name="%%" dataDxfId="10" dataCellStyle="Процентный">
      <calculatedColumnFormula>Таблица1[[#This Row],[Выручка]]/SUMIFS(Таблица1[[#All],[Выручка]],Таблица1[[#All],[Месяц]],Таблица1[[#This Row],[Месяц]],Таблица1[[#All],[Ветка]],Таблица1[[#This Row],[Ветка]])</calculatedColumnFormula>
    </tableColumn>
    <tableColumn id="11" xr3:uid="{49B421E7-AD45-43D9-990B-9A87C9F00D83}" name="ABC" dataDxfId="9"/>
    <tableColumn id="12" xr3:uid="{48966739-75F1-427A-B3CB-37BE13F5E99E}" name="Продавцов" dataDxfId="8"/>
    <tableColumn id="13" xr3:uid="{DC9F7116-70AF-4C1B-981A-E67F5B3F701E}" name="Рейтинг товара" dataDxfId="7"/>
    <tableColumn id="14" xr3:uid="{D39B60BA-4DD6-49B5-9877-2D27ABCD8B29}" name="Отзывы" dataDxfId="6"/>
    <tableColumn id="15" xr3:uid="{CAA9BA4F-5FC7-4D67-A797-0CC5D231D7A4}" name="Размороз" dataDxfId="5"/>
    <tableColumn id="16" xr3:uid="{4532F216-1CB1-482B-B3D9-1C8936E6BE17}" name="Ширина" dataDxfId="4"/>
    <tableColumn id="17" xr3:uid="{D7516273-A04D-4596-8261-17226084B445}" name="Высота" dataDxfId="3"/>
    <tableColumn id="18" xr3:uid="{DD065F75-4B63-4770-B4FB-86BB402F61F7}" name="Глубина" dataDxfId="2"/>
    <tableColumn id="19" xr3:uid="{4C942FFE-8012-4C07-A96E-5529AE65EC84}" name="Кол.Корзин" dataDxfId="1"/>
    <tableColumn id="20" xr3:uid="{38DB73EC-126B-421A-A79A-D72B7F66816E}" name="Темп.реж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07/relationships/slicer" Target="../slicers/slicer2.xml"/><Relationship Id="rId5" Type="http://schemas.microsoft.com/office/2007/relationships/slicer" Target="../slicers/slicer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683"/>
  <sheetViews>
    <sheetView tabSelected="1" topLeftCell="A3" workbookViewId="0">
      <selection activeCell="E15" sqref="E15"/>
    </sheetView>
  </sheetViews>
  <sheetFormatPr defaultRowHeight="14.4" x14ac:dyDescent="0.3"/>
  <cols>
    <col min="1" max="1" width="9.88671875" customWidth="1"/>
    <col min="2" max="2" width="10" bestFit="1" customWidth="1"/>
    <col min="3" max="3" width="14" customWidth="1"/>
    <col min="4" max="4" width="11" customWidth="1"/>
    <col min="6" max="6" width="9.77734375" customWidth="1"/>
    <col min="7" max="7" width="9.5546875" customWidth="1"/>
    <col min="10" max="10" width="8.44140625" customWidth="1"/>
    <col min="11" max="11" width="8.44140625" style="7" customWidth="1"/>
    <col min="12" max="12" width="10.44140625" customWidth="1"/>
    <col min="13" max="13" width="8.88671875" style="7"/>
    <col min="15" max="15" width="8.109375" customWidth="1"/>
    <col min="17" max="17" width="6.88671875" customWidth="1"/>
    <col min="24" max="24" width="3.88671875" customWidth="1"/>
    <col min="25" max="25" width="11.33203125" bestFit="1" customWidth="1"/>
    <col min="26" max="26" width="7.109375" bestFit="1" customWidth="1"/>
    <col min="27" max="27" width="8.5546875" bestFit="1" customWidth="1"/>
    <col min="28" max="28" width="12.33203125" bestFit="1" customWidth="1"/>
    <col min="29" max="29" width="10.5546875" bestFit="1" customWidth="1"/>
    <col min="30" max="30" width="4" bestFit="1" customWidth="1"/>
    <col min="31" max="39" width="3" bestFit="1" customWidth="1"/>
    <col min="40" max="40" width="4" bestFit="1" customWidth="1"/>
    <col min="41" max="41" width="3" bestFit="1" customWidth="1"/>
    <col min="42" max="42" width="4" bestFit="1" customWidth="1"/>
    <col min="43" max="49" width="3" bestFit="1" customWidth="1"/>
    <col min="50" max="50" width="3" customWidth="1"/>
    <col min="51" max="51" width="4" bestFit="1" customWidth="1"/>
    <col min="52" max="52" width="13.109375" bestFit="1" customWidth="1"/>
    <col min="53" max="53" width="7.109375" bestFit="1" customWidth="1"/>
    <col min="54" max="54" width="8.5546875" bestFit="1" customWidth="1"/>
    <col min="55" max="55" width="12.33203125" bestFit="1" customWidth="1"/>
    <col min="56" max="56" width="10.5546875" bestFit="1" customWidth="1"/>
    <col min="57" max="65" width="3" bestFit="1" customWidth="1"/>
    <col min="66" max="67" width="4" bestFit="1" customWidth="1"/>
    <col min="68" max="70" width="3" bestFit="1" customWidth="1"/>
    <col min="71" max="71" width="11.33203125" bestFit="1" customWidth="1"/>
  </cols>
  <sheetData>
    <row r="1" spans="25:56" x14ac:dyDescent="0.3">
      <c r="AZ1" s="9" t="s">
        <v>380</v>
      </c>
      <c r="BA1" t="s">
        <v>376</v>
      </c>
      <c r="BB1" t="s">
        <v>377</v>
      </c>
      <c r="BC1" t="s">
        <v>378</v>
      </c>
      <c r="BD1" t="s">
        <v>379</v>
      </c>
    </row>
    <row r="2" spans="25:56" x14ac:dyDescent="0.3">
      <c r="Y2" s="9" t="s">
        <v>349</v>
      </c>
      <c r="Z2" t="s">
        <v>376</v>
      </c>
      <c r="AA2" t="s">
        <v>377</v>
      </c>
      <c r="AB2" t="s">
        <v>378</v>
      </c>
      <c r="AC2" t="s">
        <v>379</v>
      </c>
      <c r="AZ2" s="10" t="s">
        <v>30</v>
      </c>
      <c r="BA2">
        <v>716</v>
      </c>
      <c r="BB2" s="11">
        <v>0.21096051856216852</v>
      </c>
      <c r="BC2" s="1">
        <v>208743120</v>
      </c>
      <c r="BD2" s="12">
        <v>0.201903679496796</v>
      </c>
    </row>
    <row r="3" spans="25:56" x14ac:dyDescent="0.3">
      <c r="Y3" s="10" t="s">
        <v>357</v>
      </c>
      <c r="Z3">
        <v>590</v>
      </c>
      <c r="AA3" s="11">
        <v>0.17383618149675897</v>
      </c>
      <c r="AB3" s="1">
        <v>231379034</v>
      </c>
      <c r="AC3" s="11">
        <v>0.22379793079175142</v>
      </c>
      <c r="AZ3" s="10" t="s">
        <v>20</v>
      </c>
      <c r="BA3">
        <v>488</v>
      </c>
      <c r="BB3" s="11">
        <v>0.14378314672952269</v>
      </c>
      <c r="BC3" s="1">
        <v>193913508</v>
      </c>
      <c r="BD3" s="12">
        <v>0.18755995775732098</v>
      </c>
    </row>
    <row r="4" spans="25:56" x14ac:dyDescent="0.3">
      <c r="Y4" s="10" t="s">
        <v>355</v>
      </c>
      <c r="Z4">
        <v>636</v>
      </c>
      <c r="AA4" s="11">
        <v>0.18738951090159103</v>
      </c>
      <c r="AB4" s="1">
        <v>181288686</v>
      </c>
      <c r="AC4" s="11">
        <v>0.17534878636737483</v>
      </c>
      <c r="AZ4" s="10" t="s">
        <v>25</v>
      </c>
      <c r="BA4">
        <v>504</v>
      </c>
      <c r="BB4" s="11">
        <v>0.14849734826163818</v>
      </c>
      <c r="BC4" s="1">
        <v>138384301</v>
      </c>
      <c r="BD4" s="12">
        <v>0.13385015782312801</v>
      </c>
    </row>
    <row r="5" spans="25:56" x14ac:dyDescent="0.3">
      <c r="Y5" s="10" t="s">
        <v>353</v>
      </c>
      <c r="Z5">
        <v>568</v>
      </c>
      <c r="AA5" s="11">
        <v>0.16735415439010018</v>
      </c>
      <c r="AB5" s="1">
        <v>120895632</v>
      </c>
      <c r="AC5" s="11">
        <v>0.11693450273182941</v>
      </c>
      <c r="AZ5" s="10" t="s">
        <v>52</v>
      </c>
      <c r="BA5">
        <v>155</v>
      </c>
      <c r="BB5" s="11">
        <v>4.5668827342368885E-2</v>
      </c>
      <c r="BC5" s="1">
        <v>48062130</v>
      </c>
      <c r="BD5" s="12">
        <v>4.6487380716803237E-2</v>
      </c>
    </row>
    <row r="6" spans="25:56" x14ac:dyDescent="0.3">
      <c r="Y6" s="10" t="s">
        <v>356</v>
      </c>
      <c r="Z6">
        <v>410</v>
      </c>
      <c r="AA6" s="11">
        <v>0.12080141426045964</v>
      </c>
      <c r="AB6" s="1">
        <v>117414651</v>
      </c>
      <c r="AC6" s="11">
        <v>0.11356757561031069</v>
      </c>
      <c r="AZ6" s="10" t="s">
        <v>165</v>
      </c>
      <c r="BA6">
        <v>187</v>
      </c>
      <c r="BB6" s="11">
        <v>5.5097230406599883E-2</v>
      </c>
      <c r="BC6" s="1">
        <v>39064210</v>
      </c>
      <c r="BD6" s="12">
        <v>3.7784276366260756E-2</v>
      </c>
    </row>
    <row r="7" spans="25:56" x14ac:dyDescent="0.3">
      <c r="Y7" s="10" t="s">
        <v>351</v>
      </c>
      <c r="Z7">
        <v>285</v>
      </c>
      <c r="AA7" s="11">
        <v>8.3971714790807311E-2</v>
      </c>
      <c r="AB7" s="1">
        <v>94768637</v>
      </c>
      <c r="AC7" s="11">
        <v>9.1663555240509023E-2</v>
      </c>
      <c r="AZ7" s="10" t="s">
        <v>38</v>
      </c>
      <c r="BA7">
        <v>152</v>
      </c>
      <c r="BB7" s="11">
        <v>4.4784914555097227E-2</v>
      </c>
      <c r="BC7" s="1">
        <v>35097978</v>
      </c>
      <c r="BD7" s="12">
        <v>3.3947997429077406E-2</v>
      </c>
    </row>
    <row r="8" spans="25:56" x14ac:dyDescent="0.3">
      <c r="Y8" s="10" t="s">
        <v>352</v>
      </c>
      <c r="Z8">
        <v>456</v>
      </c>
      <c r="AA8" s="11">
        <v>0.13435474366529168</v>
      </c>
      <c r="AB8" s="1">
        <v>76979669</v>
      </c>
      <c r="AC8" s="11">
        <v>7.4457440405918257E-2</v>
      </c>
      <c r="AZ8" s="10" t="s">
        <v>84</v>
      </c>
      <c r="BA8">
        <v>62</v>
      </c>
      <c r="BB8" s="11">
        <v>1.8267530936947555E-2</v>
      </c>
      <c r="BC8" s="1">
        <v>32456539</v>
      </c>
      <c r="BD8" s="12">
        <v>3.1393104825832151E-2</v>
      </c>
    </row>
    <row r="9" spans="25:56" x14ac:dyDescent="0.3">
      <c r="Y9" s="10" t="s">
        <v>360</v>
      </c>
      <c r="Z9">
        <v>95</v>
      </c>
      <c r="AA9" s="11">
        <v>2.799057159693577E-2</v>
      </c>
      <c r="AB9" s="1">
        <v>54230085</v>
      </c>
      <c r="AC9" s="11">
        <v>5.2453243493361619E-2</v>
      </c>
      <c r="AZ9" s="10" t="s">
        <v>74</v>
      </c>
      <c r="BA9">
        <v>191</v>
      </c>
      <c r="BB9" s="11">
        <v>5.6275780789628756E-2</v>
      </c>
      <c r="BC9" s="1">
        <v>31160176</v>
      </c>
      <c r="BD9" s="12">
        <v>3.0139216986733525E-2</v>
      </c>
    </row>
    <row r="10" spans="25:56" x14ac:dyDescent="0.3">
      <c r="Y10" s="10" t="s">
        <v>358</v>
      </c>
      <c r="Z10">
        <v>82</v>
      </c>
      <c r="AA10" s="11">
        <v>2.4160282852091926E-2</v>
      </c>
      <c r="AB10" s="1">
        <v>37828820</v>
      </c>
      <c r="AC10" s="11">
        <v>3.6589363754944287E-2</v>
      </c>
      <c r="AZ10" s="10" t="s">
        <v>46</v>
      </c>
      <c r="BA10">
        <v>77</v>
      </c>
      <c r="BB10" s="11">
        <v>2.2687094873305835E-2</v>
      </c>
      <c r="BC10" s="1">
        <v>29617408</v>
      </c>
      <c r="BD10" s="12">
        <v>2.8646997574616313E-2</v>
      </c>
    </row>
    <row r="11" spans="25:56" x14ac:dyDescent="0.3">
      <c r="Y11" s="10" t="s">
        <v>354</v>
      </c>
      <c r="Z11">
        <v>136</v>
      </c>
      <c r="AA11" s="11">
        <v>4.0070713022981735E-2</v>
      </c>
      <c r="AB11" s="1">
        <v>33551215</v>
      </c>
      <c r="AC11" s="11">
        <v>3.2451913912602701E-2</v>
      </c>
      <c r="AZ11" s="10" t="s">
        <v>35</v>
      </c>
      <c r="BA11">
        <v>199</v>
      </c>
      <c r="BB11" s="11">
        <v>5.8632881555686509E-2</v>
      </c>
      <c r="BC11" s="1">
        <v>25722606</v>
      </c>
      <c r="BD11" s="12">
        <v>2.4879808243003947E-2</v>
      </c>
    </row>
    <row r="12" spans="25:56" x14ac:dyDescent="0.3">
      <c r="Y12" s="10" t="s">
        <v>362</v>
      </c>
      <c r="Z12">
        <v>41</v>
      </c>
      <c r="AA12" s="11">
        <v>1.2080141426045963E-2</v>
      </c>
      <c r="AB12" s="1">
        <v>24435581</v>
      </c>
      <c r="AC12" s="11">
        <v>2.3634952445579994E-2</v>
      </c>
      <c r="AZ12" s="10" t="s">
        <v>91</v>
      </c>
      <c r="BA12">
        <v>78</v>
      </c>
      <c r="BB12" s="11">
        <v>2.2981732469063054E-2</v>
      </c>
      <c r="BC12" s="1">
        <v>20746097</v>
      </c>
      <c r="BD12" s="12">
        <v>2.0066353897064685E-2</v>
      </c>
    </row>
    <row r="13" spans="25:56" x14ac:dyDescent="0.3">
      <c r="Y13" s="10" t="s">
        <v>363</v>
      </c>
      <c r="Z13">
        <v>20</v>
      </c>
      <c r="AA13" s="11">
        <v>5.8927519151443725E-3</v>
      </c>
      <c r="AB13" s="1">
        <v>11989299</v>
      </c>
      <c r="AC13" s="11">
        <v>1.1596471216331618E-2</v>
      </c>
      <c r="AZ13" s="10" t="s">
        <v>44</v>
      </c>
      <c r="BA13">
        <v>46</v>
      </c>
      <c r="BB13" s="11">
        <v>1.3553329404832056E-2</v>
      </c>
      <c r="BC13" s="1">
        <v>20254210</v>
      </c>
      <c r="BD13" s="12">
        <v>1.9590583509055536E-2</v>
      </c>
    </row>
    <row r="14" spans="25:56" x14ac:dyDescent="0.3">
      <c r="Y14" s="10" t="s">
        <v>365</v>
      </c>
      <c r="Z14">
        <v>15</v>
      </c>
      <c r="AA14" s="11">
        <v>4.4195639363582796E-3</v>
      </c>
      <c r="AB14" s="1">
        <v>10610453</v>
      </c>
      <c r="AC14" s="11">
        <v>1.0262802921733745E-2</v>
      </c>
      <c r="AZ14" s="10" t="s">
        <v>41</v>
      </c>
      <c r="BA14">
        <v>33</v>
      </c>
      <c r="BB14" s="11">
        <v>9.7230406599882139E-3</v>
      </c>
      <c r="BC14" s="1">
        <v>19504659</v>
      </c>
      <c r="BD14" s="12">
        <v>1.8865591447662072E-2</v>
      </c>
    </row>
    <row r="15" spans="25:56" x14ac:dyDescent="0.3">
      <c r="Y15" s="10" t="s">
        <v>364</v>
      </c>
      <c r="Z15">
        <v>9</v>
      </c>
      <c r="AA15" s="11">
        <v>2.6517383618149676E-3</v>
      </c>
      <c r="AB15" s="1">
        <v>10002541</v>
      </c>
      <c r="AC15" s="11">
        <v>9.6748090773844976E-3</v>
      </c>
      <c r="AZ15" s="10" t="s">
        <v>93</v>
      </c>
      <c r="BA15">
        <v>86</v>
      </c>
      <c r="BB15" s="11">
        <v>2.5338833235120803E-2</v>
      </c>
      <c r="BC15" s="1">
        <v>16950107</v>
      </c>
      <c r="BD15" s="12">
        <v>1.6394739003443074E-2</v>
      </c>
    </row>
    <row r="16" spans="25:56" x14ac:dyDescent="0.3">
      <c r="Y16" s="10" t="s">
        <v>359</v>
      </c>
      <c r="Z16">
        <v>17</v>
      </c>
      <c r="AA16" s="11">
        <v>5.0088391278727169E-3</v>
      </c>
      <c r="AB16" s="1">
        <v>9151716</v>
      </c>
      <c r="AC16" s="11">
        <v>8.851861245102113E-3</v>
      </c>
      <c r="AZ16" s="10" t="s">
        <v>62</v>
      </c>
      <c r="BA16">
        <v>24</v>
      </c>
      <c r="BB16" s="11">
        <v>7.0713022981732472E-3</v>
      </c>
      <c r="BC16" s="1">
        <v>16589203</v>
      </c>
      <c r="BD16" s="12">
        <v>1.6045659974897791E-2</v>
      </c>
    </row>
    <row r="17" spans="1:56" x14ac:dyDescent="0.3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349</v>
      </c>
      <c r="G17" t="s">
        <v>5</v>
      </c>
      <c r="H17" t="s">
        <v>6</v>
      </c>
      <c r="I17" t="s">
        <v>7</v>
      </c>
      <c r="J17" t="s">
        <v>8</v>
      </c>
      <c r="K17" s="8" t="s">
        <v>373</v>
      </c>
      <c r="L17" t="s">
        <v>9</v>
      </c>
      <c r="M17" s="8" t="s">
        <v>374</v>
      </c>
      <c r="N17" t="s">
        <v>10</v>
      </c>
      <c r="O17" t="s">
        <v>11</v>
      </c>
      <c r="P17" t="s">
        <v>12</v>
      </c>
      <c r="Q17" t="s">
        <v>368</v>
      </c>
      <c r="R17" t="s">
        <v>348</v>
      </c>
      <c r="S17" t="s">
        <v>369</v>
      </c>
      <c r="T17" t="s">
        <v>15</v>
      </c>
      <c r="U17" t="s">
        <v>370</v>
      </c>
      <c r="V17" t="s">
        <v>371</v>
      </c>
      <c r="W17" t="s">
        <v>372</v>
      </c>
      <c r="Y17" s="10" t="s">
        <v>361</v>
      </c>
      <c r="Z17">
        <v>11</v>
      </c>
      <c r="AA17" s="11">
        <v>3.2410135533294049E-3</v>
      </c>
      <c r="AB17" s="1">
        <v>7489460</v>
      </c>
      <c r="AC17" s="11">
        <v>7.2440688413782156E-3</v>
      </c>
      <c r="AZ17" s="10" t="s">
        <v>87</v>
      </c>
      <c r="BA17">
        <v>34</v>
      </c>
      <c r="BB17" s="11">
        <v>1.0017678255745434E-2</v>
      </c>
      <c r="BC17" s="1">
        <v>16387949</v>
      </c>
      <c r="BD17" s="12">
        <v>1.585100003538243E-2</v>
      </c>
    </row>
    <row r="18" spans="1:56" x14ac:dyDescent="0.3">
      <c r="A18">
        <v>137444929</v>
      </c>
      <c r="B18" t="s">
        <v>341</v>
      </c>
      <c r="C18" t="s">
        <v>19</v>
      </c>
      <c r="D18" t="s">
        <v>20</v>
      </c>
      <c r="E18">
        <v>1000</v>
      </c>
      <c r="F18" t="s">
        <v>360</v>
      </c>
      <c r="G18" t="s">
        <v>21</v>
      </c>
      <c r="H18" t="s">
        <v>22</v>
      </c>
      <c r="I18" s="1">
        <v>700000</v>
      </c>
      <c r="J18">
        <v>15</v>
      </c>
      <c r="K18" s="7">
        <f>Таблица1[[#This Row],[Штуки]]/SUMIFS(Таблица1[Штуки],Таблица1[Ветка],Таблица1[[#This Row],[Ветка]],Таблица1[Месяц],Таблица1[[#This Row],[Месяц]])</f>
        <v>0.78947368421052633</v>
      </c>
      <c r="L18" s="1">
        <v>8243203</v>
      </c>
      <c r="M18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0.71306867946098773</v>
      </c>
      <c r="N18" t="s">
        <v>23</v>
      </c>
      <c r="O18">
        <v>1</v>
      </c>
      <c r="P18">
        <v>4.9000000000000004</v>
      </c>
      <c r="Q18">
        <v>39</v>
      </c>
      <c r="R18" t="s">
        <v>342</v>
      </c>
      <c r="S18">
        <v>250</v>
      </c>
      <c r="T18">
        <v>85</v>
      </c>
      <c r="U18">
        <v>76</v>
      </c>
      <c r="V18">
        <v>9</v>
      </c>
      <c r="W18">
        <v>-18</v>
      </c>
      <c r="Y18" s="10" t="s">
        <v>366</v>
      </c>
      <c r="Z18">
        <v>4</v>
      </c>
      <c r="AA18" s="11">
        <v>1.1785503830288745E-3</v>
      </c>
      <c r="AB18" s="1">
        <v>3401600</v>
      </c>
      <c r="AC18" s="11">
        <v>3.2901470294029391E-3</v>
      </c>
      <c r="AZ18" s="10" t="s">
        <v>115</v>
      </c>
      <c r="BA18">
        <v>40</v>
      </c>
      <c r="BB18" s="11">
        <v>1.1785503830288745E-2</v>
      </c>
      <c r="BC18" s="1">
        <v>15870965</v>
      </c>
      <c r="BD18" s="12">
        <v>1.5350954947233073E-2</v>
      </c>
    </row>
    <row r="19" spans="1:56" x14ac:dyDescent="0.3">
      <c r="A19">
        <v>100018121</v>
      </c>
      <c r="B19" t="s">
        <v>343</v>
      </c>
      <c r="C19" t="s">
        <v>24</v>
      </c>
      <c r="D19" t="s">
        <v>25</v>
      </c>
      <c r="E19">
        <v>600</v>
      </c>
      <c r="F19" t="s">
        <v>356</v>
      </c>
      <c r="G19" t="s">
        <v>26</v>
      </c>
      <c r="H19" t="s">
        <v>22</v>
      </c>
      <c r="I19" s="1">
        <v>292320</v>
      </c>
      <c r="J19">
        <v>28</v>
      </c>
      <c r="K19" s="7">
        <f>Таблица1[[#This Row],[Штуки]]/SUMIFS(Таблица1[Штуки],Таблица1[Ветка],Таблица1[[#This Row],[Ветка]],Таблица1[Месяц],Таблица1[[#This Row],[Месяц]])</f>
        <v>0.5957446808510638</v>
      </c>
      <c r="L19" s="1">
        <v>7952718</v>
      </c>
      <c r="M19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0.49394444744643468</v>
      </c>
      <c r="N19" t="s">
        <v>23</v>
      </c>
      <c r="O19">
        <v>6</v>
      </c>
      <c r="P19">
        <v>4.7</v>
      </c>
      <c r="Q19">
        <v>146</v>
      </c>
      <c r="R19" t="s">
        <v>344</v>
      </c>
      <c r="S19">
        <v>203.5</v>
      </c>
      <c r="T19">
        <v>81</v>
      </c>
      <c r="U19">
        <v>66.5</v>
      </c>
      <c r="V19">
        <v>2</v>
      </c>
      <c r="W19">
        <v>-18</v>
      </c>
      <c r="Y19" s="10" t="s">
        <v>350</v>
      </c>
      <c r="Z19">
        <v>12</v>
      </c>
      <c r="AA19" s="11">
        <v>3.5356511490866236E-3</v>
      </c>
      <c r="AB19" s="1">
        <v>3156521</v>
      </c>
      <c r="AC19" s="11">
        <v>3.0530980101710946E-3</v>
      </c>
      <c r="AZ19" s="10" t="s">
        <v>50</v>
      </c>
      <c r="BA19">
        <v>25</v>
      </c>
      <c r="BB19" s="11">
        <v>7.3659398939304654E-3</v>
      </c>
      <c r="BC19" s="1">
        <v>15469062</v>
      </c>
      <c r="BD19" s="12">
        <v>1.4962220245457987E-2</v>
      </c>
    </row>
    <row r="20" spans="1:56" x14ac:dyDescent="0.3">
      <c r="A20">
        <v>2800664</v>
      </c>
      <c r="B20" t="s">
        <v>343</v>
      </c>
      <c r="C20" t="s">
        <v>27</v>
      </c>
      <c r="D20" t="s">
        <v>25</v>
      </c>
      <c r="E20">
        <v>510</v>
      </c>
      <c r="F20" t="s">
        <v>355</v>
      </c>
      <c r="G20" t="s">
        <v>26</v>
      </c>
      <c r="H20" t="s">
        <v>22</v>
      </c>
      <c r="I20" s="1">
        <v>260200</v>
      </c>
      <c r="J20">
        <v>28</v>
      </c>
      <c r="K20" s="7">
        <f>Таблица1[[#This Row],[Штуки]]/SUMIFS(Таблица1[Штуки],Таблица1[Ветка],Таблица1[[#This Row],[Ветка]],Таблица1[Месяц],Таблица1[[#This Row],[Месяц]])</f>
        <v>0.28282828282828282</v>
      </c>
      <c r="L20" s="1">
        <v>7455310</v>
      </c>
      <c r="M20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0.26026523887358261</v>
      </c>
      <c r="N20" t="s">
        <v>23</v>
      </c>
      <c r="O20">
        <v>14</v>
      </c>
      <c r="P20">
        <v>4.8</v>
      </c>
      <c r="Q20">
        <v>192</v>
      </c>
      <c r="R20" t="s">
        <v>344</v>
      </c>
      <c r="S20">
        <v>179</v>
      </c>
      <c r="T20">
        <v>81</v>
      </c>
      <c r="U20">
        <v>66</v>
      </c>
      <c r="V20">
        <v>2</v>
      </c>
      <c r="W20">
        <v>-18</v>
      </c>
      <c r="Y20" s="10">
        <v>2500</v>
      </c>
      <c r="Z20">
        <v>4</v>
      </c>
      <c r="AA20" s="11">
        <v>1.1785503830288745E-3</v>
      </c>
      <c r="AB20" s="1">
        <v>2907690</v>
      </c>
      <c r="AC20" s="11">
        <v>2.8124199247191416E-3</v>
      </c>
      <c r="AZ20" s="10" t="s">
        <v>104</v>
      </c>
      <c r="BA20">
        <v>54</v>
      </c>
      <c r="BB20" s="11">
        <v>1.5910430170889805E-2</v>
      </c>
      <c r="BC20" s="1">
        <v>13405936</v>
      </c>
      <c r="BD20" s="12">
        <v>1.2966692293851693E-2</v>
      </c>
    </row>
    <row r="21" spans="1:56" x14ac:dyDescent="0.3">
      <c r="A21">
        <v>137444919</v>
      </c>
      <c r="B21" t="s">
        <v>341</v>
      </c>
      <c r="C21" t="s">
        <v>28</v>
      </c>
      <c r="D21" t="s">
        <v>20</v>
      </c>
      <c r="E21">
        <v>700</v>
      </c>
      <c r="F21" t="s">
        <v>357</v>
      </c>
      <c r="G21" t="s">
        <v>21</v>
      </c>
      <c r="H21" t="s">
        <v>22</v>
      </c>
      <c r="I21" s="1">
        <v>389340</v>
      </c>
      <c r="J21">
        <v>18</v>
      </c>
      <c r="K21" s="7">
        <f>Таблица1[[#This Row],[Штуки]]/SUMIFS(Таблица1[Штуки],Таблица1[Ветка],Таблица1[[#This Row],[Ветка]],Таблица1[Месяц],Таблица1[[#This Row],[Месяц]])</f>
        <v>0.33333333333333331</v>
      </c>
      <c r="L21" s="1">
        <v>7170108</v>
      </c>
      <c r="M21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0.32562672322404296</v>
      </c>
      <c r="N21" t="s">
        <v>23</v>
      </c>
      <c r="O21">
        <v>3</v>
      </c>
      <c r="P21">
        <v>4.9000000000000004</v>
      </c>
      <c r="Q21">
        <v>46</v>
      </c>
      <c r="R21" t="s">
        <v>342</v>
      </c>
      <c r="S21">
        <v>200</v>
      </c>
      <c r="T21">
        <v>85</v>
      </c>
      <c r="U21">
        <v>76</v>
      </c>
      <c r="V21">
        <v>7</v>
      </c>
      <c r="W21">
        <v>-24</v>
      </c>
      <c r="Y21" s="10" t="s">
        <v>367</v>
      </c>
      <c r="Z21">
        <v>3</v>
      </c>
      <c r="AA21" s="11">
        <v>8.839127872716559E-4</v>
      </c>
      <c r="AB21" s="1">
        <v>2393479</v>
      </c>
      <c r="AC21" s="11">
        <v>2.3150569795944019E-3</v>
      </c>
      <c r="AZ21" s="10" t="s">
        <v>203</v>
      </c>
      <c r="BA21">
        <v>29</v>
      </c>
      <c r="BB21" s="11">
        <v>8.5444902769593392E-3</v>
      </c>
      <c r="BC21" s="1">
        <v>13351539</v>
      </c>
      <c r="BD21" s="12">
        <v>1.291407760430606E-2</v>
      </c>
    </row>
    <row r="22" spans="1:56" x14ac:dyDescent="0.3">
      <c r="A22">
        <v>121978898</v>
      </c>
      <c r="B22" t="s">
        <v>341</v>
      </c>
      <c r="C22" t="s">
        <v>29</v>
      </c>
      <c r="D22" t="s">
        <v>30</v>
      </c>
      <c r="E22">
        <v>718</v>
      </c>
      <c r="F22" t="s">
        <v>357</v>
      </c>
      <c r="G22" t="s">
        <v>31</v>
      </c>
      <c r="H22" t="s">
        <v>22</v>
      </c>
      <c r="I22" s="1">
        <v>424980</v>
      </c>
      <c r="J22">
        <v>13</v>
      </c>
      <c r="K22" s="7">
        <f>Таблица1[[#This Row],[Штуки]]/SUMIFS(Таблица1[Штуки],Таблица1[Ветка],Таблица1[[#This Row],[Ветка]],Таблица1[Месяц],Таблица1[[#This Row],[Месяц]])</f>
        <v>0.24074074074074073</v>
      </c>
      <c r="L22" s="1">
        <v>5451581</v>
      </c>
      <c r="M22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0.24758071390562753</v>
      </c>
      <c r="N22" t="s">
        <v>23</v>
      </c>
      <c r="O22">
        <v>6</v>
      </c>
      <c r="P22">
        <v>4.9000000000000004</v>
      </c>
      <c r="Q22">
        <v>124</v>
      </c>
      <c r="R22" t="s">
        <v>344</v>
      </c>
      <c r="S22">
        <v>200</v>
      </c>
      <c r="T22">
        <v>86</v>
      </c>
      <c r="U22">
        <v>75.7</v>
      </c>
      <c r="V22">
        <v>6</v>
      </c>
      <c r="W22">
        <v>-18</v>
      </c>
      <c r="Y22" s="10" t="s">
        <v>375</v>
      </c>
      <c r="Z22">
        <v>3394</v>
      </c>
      <c r="AA22" s="12">
        <v>1</v>
      </c>
      <c r="AB22" s="1">
        <v>1033874769</v>
      </c>
      <c r="AC22" s="11">
        <v>1</v>
      </c>
      <c r="AZ22" s="10" t="s">
        <v>133</v>
      </c>
      <c r="BA22">
        <v>40</v>
      </c>
      <c r="BB22" s="11">
        <v>1.1785503830288745E-2</v>
      </c>
      <c r="BC22" s="1">
        <v>11754835</v>
      </c>
      <c r="BD22" s="12">
        <v>1.1369689398039657E-2</v>
      </c>
    </row>
    <row r="23" spans="1:56" x14ac:dyDescent="0.3">
      <c r="A23">
        <v>137446425</v>
      </c>
      <c r="B23" t="s">
        <v>341</v>
      </c>
      <c r="C23" t="s">
        <v>32</v>
      </c>
      <c r="D23" t="s">
        <v>20</v>
      </c>
      <c r="E23">
        <v>500</v>
      </c>
      <c r="F23" t="s">
        <v>355</v>
      </c>
      <c r="G23" t="s">
        <v>33</v>
      </c>
      <c r="H23" t="s">
        <v>22</v>
      </c>
      <c r="I23" s="1">
        <v>291750</v>
      </c>
      <c r="J23">
        <v>16</v>
      </c>
      <c r="K23" s="7">
        <f>Таблица1[[#This Row],[Штуки]]/SUMIFS(Таблица1[Штуки],Таблица1[Ветка],Таблица1[[#This Row],[Ветка]],Таблица1[Месяц],Таблица1[[#This Row],[Месяц]])</f>
        <v>0.16161616161616163</v>
      </c>
      <c r="L23" s="1">
        <v>4813213</v>
      </c>
      <c r="M23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0.16802950262221597</v>
      </c>
      <c r="N23" t="s">
        <v>23</v>
      </c>
      <c r="O23">
        <v>3</v>
      </c>
      <c r="P23">
        <v>4.9000000000000004</v>
      </c>
      <c r="Q23">
        <v>25</v>
      </c>
      <c r="R23" t="s">
        <v>342</v>
      </c>
      <c r="S23">
        <v>150</v>
      </c>
      <c r="T23">
        <v>85</v>
      </c>
      <c r="U23">
        <v>76</v>
      </c>
      <c r="V23">
        <v>5</v>
      </c>
      <c r="W23">
        <v>-24</v>
      </c>
      <c r="AZ23" s="10" t="s">
        <v>71</v>
      </c>
      <c r="BA23">
        <v>19</v>
      </c>
      <c r="BB23" s="11">
        <v>5.5981143193871534E-3</v>
      </c>
      <c r="BC23" s="1">
        <v>8687798</v>
      </c>
      <c r="BD23" s="12">
        <v>8.4031434565359827E-3</v>
      </c>
    </row>
    <row r="24" spans="1:56" x14ac:dyDescent="0.3">
      <c r="A24">
        <v>119264286</v>
      </c>
      <c r="B24" t="s">
        <v>341</v>
      </c>
      <c r="C24" t="s">
        <v>34</v>
      </c>
      <c r="D24" t="s">
        <v>35</v>
      </c>
      <c r="E24">
        <v>268</v>
      </c>
      <c r="F24" t="s">
        <v>352</v>
      </c>
      <c r="G24" t="s">
        <v>36</v>
      </c>
      <c r="H24" t="s">
        <v>22</v>
      </c>
      <c r="I24" s="1">
        <v>263800</v>
      </c>
      <c r="J24">
        <v>28</v>
      </c>
      <c r="K24" s="7">
        <f>Таблица1[[#This Row],[Штуки]]/SUMIFS(Таблица1[Штуки],Таблица1[Ветка],Таблица1[[#This Row],[Ветка]],Таблица1[Месяц],Таблица1[[#This Row],[Месяц]])</f>
        <v>0.33734939759036142</v>
      </c>
      <c r="L24" s="1">
        <v>4554779</v>
      </c>
      <c r="M24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0.34483774426561137</v>
      </c>
      <c r="N24" t="s">
        <v>23</v>
      </c>
      <c r="O24">
        <v>1</v>
      </c>
      <c r="P24">
        <v>5</v>
      </c>
      <c r="Q24">
        <v>47</v>
      </c>
      <c r="R24" t="s">
        <v>342</v>
      </c>
      <c r="S24">
        <v>110</v>
      </c>
      <c r="T24">
        <v>85</v>
      </c>
      <c r="U24">
        <v>60</v>
      </c>
      <c r="V24">
        <v>4</v>
      </c>
      <c r="W24">
        <v>-18</v>
      </c>
      <c r="AZ24" s="10" t="s">
        <v>100</v>
      </c>
      <c r="BA24">
        <v>15</v>
      </c>
      <c r="BB24" s="11">
        <v>4.4195639363582796E-3</v>
      </c>
      <c r="BC24" s="1">
        <v>8482175</v>
      </c>
      <c r="BD24" s="12">
        <v>8.2042576667232699E-3</v>
      </c>
    </row>
    <row r="25" spans="1:56" x14ac:dyDescent="0.3">
      <c r="A25">
        <v>141507444</v>
      </c>
      <c r="B25" t="s">
        <v>341</v>
      </c>
      <c r="C25" t="s">
        <v>37</v>
      </c>
      <c r="D25" t="s">
        <v>38</v>
      </c>
      <c r="E25">
        <v>318</v>
      </c>
      <c r="F25" t="s">
        <v>353</v>
      </c>
      <c r="G25" t="s">
        <v>31</v>
      </c>
      <c r="H25" t="s">
        <v>22</v>
      </c>
      <c r="I25" s="1">
        <v>550000</v>
      </c>
      <c r="J25">
        <v>18</v>
      </c>
      <c r="K25" s="7">
        <f>Таблица1[[#This Row],[Штуки]]/SUMIFS(Таблица1[Штуки],Таблица1[Ветка],Таблица1[[#This Row],[Ветка]],Таблица1[Месяц],Таблица1[[#This Row],[Месяц]])</f>
        <v>0.43902439024390244</v>
      </c>
      <c r="L25" s="1">
        <v>3374852</v>
      </c>
      <c r="M25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0.40813692620838921</v>
      </c>
      <c r="N25" t="s">
        <v>23</v>
      </c>
      <c r="O25">
        <v>3</v>
      </c>
      <c r="P25">
        <v>4.9000000000000004</v>
      </c>
      <c r="Q25">
        <v>20</v>
      </c>
      <c r="R25" t="s">
        <v>344</v>
      </c>
      <c r="S25">
        <v>129.4</v>
      </c>
      <c r="T25">
        <v>83</v>
      </c>
      <c r="U25">
        <v>59.8</v>
      </c>
      <c r="V25">
        <v>5</v>
      </c>
      <c r="W25">
        <v>-18</v>
      </c>
      <c r="AZ25" s="10" t="s">
        <v>54</v>
      </c>
      <c r="BA25">
        <v>6</v>
      </c>
      <c r="BB25" s="11">
        <v>1.7678255745433118E-3</v>
      </c>
      <c r="BC25" s="1">
        <v>6696239</v>
      </c>
      <c r="BD25" s="12">
        <v>6.4768376217139313E-3</v>
      </c>
    </row>
    <row r="26" spans="1:56" x14ac:dyDescent="0.3">
      <c r="A26">
        <v>143838104</v>
      </c>
      <c r="B26" t="s">
        <v>341</v>
      </c>
      <c r="C26" t="s">
        <v>39</v>
      </c>
      <c r="D26" t="s">
        <v>35</v>
      </c>
      <c r="E26">
        <v>205</v>
      </c>
      <c r="F26" t="s">
        <v>352</v>
      </c>
      <c r="G26" t="s">
        <v>26</v>
      </c>
      <c r="H26" t="s">
        <v>22</v>
      </c>
      <c r="I26" s="1">
        <v>137400</v>
      </c>
      <c r="J26">
        <v>24</v>
      </c>
      <c r="K26" s="7">
        <f>Таблица1[[#This Row],[Штуки]]/SUMIFS(Таблица1[Штуки],Таблица1[Ветка],Таблица1[[#This Row],[Ветка]],Таблица1[Месяц],Таблица1[[#This Row],[Месяц]])</f>
        <v>0.28915662650602408</v>
      </c>
      <c r="L26" s="1">
        <v>3353269</v>
      </c>
      <c r="M26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0.25387262869961474</v>
      </c>
      <c r="N26" t="s">
        <v>23</v>
      </c>
      <c r="O26">
        <v>1</v>
      </c>
      <c r="P26">
        <v>4.9000000000000004</v>
      </c>
      <c r="Q26">
        <v>22</v>
      </c>
      <c r="R26" t="s">
        <v>344</v>
      </c>
      <c r="S26">
        <v>100</v>
      </c>
      <c r="T26">
        <v>77</v>
      </c>
      <c r="U26">
        <v>50</v>
      </c>
      <c r="V26">
        <v>4</v>
      </c>
      <c r="W26">
        <v>-18</v>
      </c>
      <c r="AZ26" s="10" t="s">
        <v>130</v>
      </c>
      <c r="BA26">
        <v>47</v>
      </c>
      <c r="BB26" s="11">
        <v>1.3847967000589274E-2</v>
      </c>
      <c r="BC26" s="1">
        <v>6268797</v>
      </c>
      <c r="BD26" s="12">
        <v>6.0634007018697256E-3</v>
      </c>
    </row>
    <row r="27" spans="1:56" x14ac:dyDescent="0.3">
      <c r="A27">
        <v>145109215</v>
      </c>
      <c r="B27" t="s">
        <v>341</v>
      </c>
      <c r="C27" t="s">
        <v>40</v>
      </c>
      <c r="D27" t="s">
        <v>41</v>
      </c>
      <c r="E27">
        <v>1240</v>
      </c>
      <c r="F27" t="s">
        <v>362</v>
      </c>
      <c r="G27" t="s">
        <v>42</v>
      </c>
      <c r="H27" t="s">
        <v>22</v>
      </c>
      <c r="I27" s="1">
        <v>523699</v>
      </c>
      <c r="J27">
        <v>6</v>
      </c>
      <c r="K27" s="7">
        <f>Таблица1[[#This Row],[Штуки]]/SUMIFS(Таблица1[Штуки],Таблица1[Ветка],Таблица1[[#This Row],[Ветка]],Таблица1[Месяц],Таблица1[[#This Row],[Месяц]])</f>
        <v>0.66666666666666663</v>
      </c>
      <c r="L27" s="1">
        <v>3321161</v>
      </c>
      <c r="M27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0.58637621529009998</v>
      </c>
      <c r="N27" t="s">
        <v>23</v>
      </c>
      <c r="O27">
        <v>1</v>
      </c>
      <c r="P27">
        <v>4.8</v>
      </c>
      <c r="Q27">
        <v>3</v>
      </c>
      <c r="R27" t="s">
        <v>342</v>
      </c>
      <c r="S27">
        <v>250</v>
      </c>
      <c r="T27">
        <v>80</v>
      </c>
      <c r="U27">
        <v>76</v>
      </c>
      <c r="V27">
        <v>9</v>
      </c>
      <c r="W27">
        <v>-25</v>
      </c>
      <c r="AZ27" s="10" t="s">
        <v>148</v>
      </c>
      <c r="BA27">
        <v>16</v>
      </c>
      <c r="BB27" s="11">
        <v>4.7142015321154978E-3</v>
      </c>
      <c r="BC27" s="1">
        <v>5016015</v>
      </c>
      <c r="BD27" s="12">
        <v>4.851665937115059E-3</v>
      </c>
    </row>
    <row r="28" spans="1:56" x14ac:dyDescent="0.3">
      <c r="A28">
        <v>117503807</v>
      </c>
      <c r="B28" t="s">
        <v>341</v>
      </c>
      <c r="C28" t="s">
        <v>43</v>
      </c>
      <c r="D28" t="s">
        <v>44</v>
      </c>
      <c r="E28">
        <v>700</v>
      </c>
      <c r="F28" t="s">
        <v>357</v>
      </c>
      <c r="G28" t="s">
        <v>31</v>
      </c>
      <c r="H28" t="s">
        <v>22</v>
      </c>
      <c r="I28" s="1">
        <v>393935</v>
      </c>
      <c r="J28">
        <v>8</v>
      </c>
      <c r="K28" s="7">
        <f>Таблица1[[#This Row],[Штуки]]/SUMIFS(Таблица1[Штуки],Таблица1[Ветка],Таблица1[[#This Row],[Ветка]],Таблица1[Месяц],Таблица1[[#This Row],[Месяц]])</f>
        <v>0.14814814814814814</v>
      </c>
      <c r="L28" s="1">
        <v>3130134</v>
      </c>
      <c r="M28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0.14215340656963135</v>
      </c>
      <c r="N28" t="s">
        <v>23</v>
      </c>
      <c r="O28">
        <v>3</v>
      </c>
      <c r="P28">
        <v>4.9000000000000004</v>
      </c>
      <c r="Q28">
        <v>7</v>
      </c>
      <c r="R28" t="s">
        <v>345</v>
      </c>
      <c r="S28">
        <v>200</v>
      </c>
      <c r="T28">
        <v>85</v>
      </c>
      <c r="U28">
        <v>75</v>
      </c>
      <c r="V28">
        <v>7</v>
      </c>
      <c r="W28">
        <v>-24</v>
      </c>
      <c r="AZ28" s="10" t="s">
        <v>81</v>
      </c>
      <c r="BA28">
        <v>4</v>
      </c>
      <c r="BB28" s="11">
        <v>1.1785503830288745E-3</v>
      </c>
      <c r="BC28" s="1">
        <v>4591765</v>
      </c>
      <c r="BD28" s="12">
        <v>4.4413164318163178E-3</v>
      </c>
    </row>
    <row r="29" spans="1:56" x14ac:dyDescent="0.3">
      <c r="A29">
        <v>113954312</v>
      </c>
      <c r="B29" t="s">
        <v>343</v>
      </c>
      <c r="C29" t="s">
        <v>45</v>
      </c>
      <c r="D29" t="s">
        <v>46</v>
      </c>
      <c r="E29">
        <v>516</v>
      </c>
      <c r="F29" t="s">
        <v>355</v>
      </c>
      <c r="G29" t="s">
        <v>26</v>
      </c>
      <c r="H29" t="s">
        <v>22</v>
      </c>
      <c r="I29" s="1">
        <v>369990</v>
      </c>
      <c r="J29">
        <v>9</v>
      </c>
      <c r="K29" s="7">
        <f>Таблица1[[#This Row],[Штуки]]/SUMIFS(Таблица1[Штуки],Таблица1[Ветка],Таблица1[[#This Row],[Ветка]],Таблица1[Месяц],Таблица1[[#This Row],[Месяц]])</f>
        <v>9.0909090909090912E-2</v>
      </c>
      <c r="L29" s="1">
        <v>2901123</v>
      </c>
      <c r="M29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0.10127834665448446</v>
      </c>
      <c r="N29" t="s">
        <v>23</v>
      </c>
      <c r="O29">
        <v>3</v>
      </c>
      <c r="P29">
        <v>5</v>
      </c>
      <c r="Q29">
        <v>34</v>
      </c>
      <c r="R29" t="s">
        <v>344</v>
      </c>
      <c r="S29">
        <v>165</v>
      </c>
      <c r="T29">
        <v>84.5</v>
      </c>
      <c r="U29">
        <v>74.5</v>
      </c>
      <c r="V29">
        <v>0</v>
      </c>
      <c r="W29">
        <v>-29</v>
      </c>
      <c r="AZ29" s="10" t="s">
        <v>321</v>
      </c>
      <c r="BA29">
        <v>3</v>
      </c>
      <c r="BB29" s="11">
        <v>8.839127872716559E-4</v>
      </c>
      <c r="BC29" s="1">
        <v>4422397</v>
      </c>
      <c r="BD29" s="12">
        <v>4.2774977517610743E-3</v>
      </c>
    </row>
    <row r="30" spans="1:56" x14ac:dyDescent="0.3">
      <c r="A30">
        <v>121978941</v>
      </c>
      <c r="B30" t="s">
        <v>341</v>
      </c>
      <c r="C30" t="s">
        <v>47</v>
      </c>
      <c r="D30" t="s">
        <v>30</v>
      </c>
      <c r="E30">
        <v>268</v>
      </c>
      <c r="F30" t="s">
        <v>352</v>
      </c>
      <c r="G30" t="s">
        <v>48</v>
      </c>
      <c r="H30" t="s">
        <v>22</v>
      </c>
      <c r="I30" s="1">
        <v>172900</v>
      </c>
      <c r="J30">
        <v>17</v>
      </c>
      <c r="K30" s="7">
        <f>Таблица1[[#This Row],[Штуки]]/SUMIFS(Таблица1[Штуки],Таблица1[Ветка],Таблица1[[#This Row],[Ветка]],Таблица1[Месяц],Таблица1[[#This Row],[Месяц]])</f>
        <v>0.20481927710843373</v>
      </c>
      <c r="L30" s="1">
        <v>2854923</v>
      </c>
      <c r="M30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0.21614335346940258</v>
      </c>
      <c r="N30" t="s">
        <v>23</v>
      </c>
      <c r="O30">
        <v>2</v>
      </c>
      <c r="P30">
        <v>4.9000000000000004</v>
      </c>
      <c r="Q30">
        <v>61</v>
      </c>
      <c r="R30" t="s">
        <v>344</v>
      </c>
      <c r="S30">
        <v>109.5</v>
      </c>
      <c r="T30">
        <v>85</v>
      </c>
      <c r="U30">
        <v>60</v>
      </c>
      <c r="V30">
        <v>3</v>
      </c>
      <c r="W30">
        <v>-18</v>
      </c>
      <c r="AZ30" s="10" t="s">
        <v>107</v>
      </c>
      <c r="BA30">
        <v>10</v>
      </c>
      <c r="BB30" s="11">
        <v>2.9463759575721863E-3</v>
      </c>
      <c r="BC30" s="1">
        <v>3093610</v>
      </c>
      <c r="BD30" s="12">
        <v>2.9922482807006193E-3</v>
      </c>
    </row>
    <row r="31" spans="1:56" x14ac:dyDescent="0.3">
      <c r="A31">
        <v>140611570</v>
      </c>
      <c r="B31" t="s">
        <v>343</v>
      </c>
      <c r="C31" t="s">
        <v>49</v>
      </c>
      <c r="D31" t="s">
        <v>50</v>
      </c>
      <c r="E31">
        <v>1600</v>
      </c>
      <c r="F31" t="s">
        <v>365</v>
      </c>
      <c r="G31" t="s">
        <v>26</v>
      </c>
      <c r="H31" t="s">
        <v>22</v>
      </c>
      <c r="I31" s="1">
        <v>729990</v>
      </c>
      <c r="J31">
        <v>4</v>
      </c>
      <c r="K31" s="7">
        <f>Таблица1[[#This Row],[Штуки]]/SUMIFS(Таблица1[Штуки],Таблица1[Ветка],Таблица1[[#This Row],[Ветка]],Таблица1[Месяц],Таблица1[[#This Row],[Месяц]])</f>
        <v>1</v>
      </c>
      <c r="L31" s="1">
        <v>2707960</v>
      </c>
      <c r="M31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1</v>
      </c>
      <c r="N31" t="s">
        <v>23</v>
      </c>
      <c r="O31">
        <v>2</v>
      </c>
      <c r="P31">
        <v>5</v>
      </c>
      <c r="Q31">
        <v>10</v>
      </c>
      <c r="R31" t="s">
        <v>344</v>
      </c>
      <c r="S31">
        <v>315</v>
      </c>
      <c r="T31">
        <v>93</v>
      </c>
      <c r="U31">
        <v>89</v>
      </c>
      <c r="V31">
        <v>0</v>
      </c>
      <c r="W31">
        <v>-18</v>
      </c>
      <c r="AZ31" s="10" t="s">
        <v>216</v>
      </c>
      <c r="BA31">
        <v>5</v>
      </c>
      <c r="BB31" s="11">
        <v>1.4731879787860931E-3</v>
      </c>
      <c r="BC31" s="1">
        <v>2802413</v>
      </c>
      <c r="BD31" s="12">
        <v>2.7105923115916565E-3</v>
      </c>
    </row>
    <row r="32" spans="1:56" x14ac:dyDescent="0.3">
      <c r="A32">
        <v>140652811</v>
      </c>
      <c r="B32" t="s">
        <v>343</v>
      </c>
      <c r="C32" t="s">
        <v>51</v>
      </c>
      <c r="D32" t="s">
        <v>52</v>
      </c>
      <c r="E32">
        <v>800</v>
      </c>
      <c r="F32" t="s">
        <v>358</v>
      </c>
      <c r="G32" t="s">
        <v>26</v>
      </c>
      <c r="H32" t="s">
        <v>22</v>
      </c>
      <c r="I32" s="1">
        <v>333000</v>
      </c>
      <c r="J32">
        <v>7</v>
      </c>
      <c r="K32" s="7">
        <f>Таблица1[[#This Row],[Штуки]]/SUMIFS(Таблица1[Штуки],Таблица1[Ветка],Таблица1[[#This Row],[Ветка]],Таблица1[Месяц],Таблица1[[#This Row],[Месяц]])</f>
        <v>0.53846153846153844</v>
      </c>
      <c r="L32" s="1">
        <v>2510105</v>
      </c>
      <c r="M32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0.45280711530458301</v>
      </c>
      <c r="N32" t="s">
        <v>23</v>
      </c>
      <c r="O32">
        <v>1</v>
      </c>
      <c r="P32">
        <v>5</v>
      </c>
      <c r="Q32">
        <v>7</v>
      </c>
      <c r="R32" t="s">
        <v>344</v>
      </c>
      <c r="S32">
        <v>194.5</v>
      </c>
      <c r="T32">
        <v>88</v>
      </c>
      <c r="U32">
        <v>80</v>
      </c>
      <c r="V32">
        <v>2</v>
      </c>
      <c r="W32">
        <v>-18</v>
      </c>
      <c r="AZ32" s="10" t="s">
        <v>223</v>
      </c>
      <c r="BA32">
        <v>4</v>
      </c>
      <c r="BB32" s="11">
        <v>1.1785503830288745E-3</v>
      </c>
      <c r="BC32" s="1">
        <v>2298562</v>
      </c>
      <c r="BD32" s="12">
        <v>2.2232499224478126E-3</v>
      </c>
    </row>
    <row r="33" spans="1:56" x14ac:dyDescent="0.3">
      <c r="A33">
        <v>114694121</v>
      </c>
      <c r="B33" t="s">
        <v>346</v>
      </c>
      <c r="C33" t="s">
        <v>53</v>
      </c>
      <c r="D33" t="s">
        <v>54</v>
      </c>
      <c r="E33">
        <v>1400</v>
      </c>
      <c r="F33" t="s">
        <v>364</v>
      </c>
      <c r="G33" t="s">
        <v>55</v>
      </c>
      <c r="H33" t="s">
        <v>22</v>
      </c>
      <c r="I33" s="1">
        <v>1120000</v>
      </c>
      <c r="J33">
        <v>2</v>
      </c>
      <c r="K33" s="7">
        <f>Таблица1[[#This Row],[Штуки]]/SUMIFS(Таблица1[Штуки],Таблица1[Ветка],Таблица1[[#This Row],[Ветка]],Таблица1[Месяц],Таблица1[[#This Row],[Месяц]])</f>
        <v>1</v>
      </c>
      <c r="L33" s="1">
        <v>2255239</v>
      </c>
      <c r="M33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1</v>
      </c>
      <c r="N33" t="s">
        <v>23</v>
      </c>
      <c r="O33">
        <v>1</v>
      </c>
      <c r="P33">
        <v>4.33</v>
      </c>
      <c r="Q33">
        <v>5</v>
      </c>
      <c r="R33" t="s">
        <v>344</v>
      </c>
      <c r="S33">
        <v>160</v>
      </c>
      <c r="T33">
        <v>198</v>
      </c>
      <c r="U33">
        <v>72.5</v>
      </c>
      <c r="V33">
        <v>0</v>
      </c>
      <c r="W33">
        <v>-18</v>
      </c>
      <c r="AZ33" s="10" t="s">
        <v>249</v>
      </c>
      <c r="BA33">
        <v>3</v>
      </c>
      <c r="BB33" s="11">
        <v>8.839127872716559E-4</v>
      </c>
      <c r="BC33" s="1">
        <v>2093108</v>
      </c>
      <c r="BD33" s="12">
        <v>2.024527595372627E-3</v>
      </c>
    </row>
    <row r="34" spans="1:56" x14ac:dyDescent="0.3">
      <c r="A34">
        <v>152415627</v>
      </c>
      <c r="B34" t="s">
        <v>341</v>
      </c>
      <c r="C34" t="s">
        <v>56</v>
      </c>
      <c r="D34" t="s">
        <v>41</v>
      </c>
      <c r="E34">
        <v>1030</v>
      </c>
      <c r="F34" t="s">
        <v>360</v>
      </c>
      <c r="G34" t="s">
        <v>31</v>
      </c>
      <c r="H34" t="s">
        <v>22</v>
      </c>
      <c r="I34" s="1">
        <v>880000</v>
      </c>
      <c r="J34">
        <v>2</v>
      </c>
      <c r="K34" s="7">
        <f>Таблица1[[#This Row],[Штуки]]/SUMIFS(Таблица1[Штуки],Таблица1[Ветка],Таблица1[[#This Row],[Ветка]],Таблица1[Месяц],Таблица1[[#This Row],[Месяц]])</f>
        <v>0.10526315789473684</v>
      </c>
      <c r="L34" s="1">
        <v>2072528</v>
      </c>
      <c r="M34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0.17928162197460404</v>
      </c>
      <c r="N34" t="s">
        <v>57</v>
      </c>
      <c r="O34">
        <v>1</v>
      </c>
      <c r="P34">
        <v>0</v>
      </c>
      <c r="Q34">
        <v>0</v>
      </c>
      <c r="R34" t="s">
        <v>344</v>
      </c>
      <c r="S34">
        <v>252</v>
      </c>
      <c r="T34">
        <v>94</v>
      </c>
      <c r="U34">
        <v>95</v>
      </c>
      <c r="V34">
        <v>0</v>
      </c>
      <c r="W34">
        <v>-24</v>
      </c>
      <c r="AZ34" s="10" t="s">
        <v>77</v>
      </c>
      <c r="BA34">
        <v>2</v>
      </c>
      <c r="BB34" s="11">
        <v>5.8927519151443723E-4</v>
      </c>
      <c r="BC34" s="1">
        <v>2082213</v>
      </c>
      <c r="BD34" s="12">
        <v>2.0139895685954206E-3</v>
      </c>
    </row>
    <row r="35" spans="1:56" x14ac:dyDescent="0.3">
      <c r="A35">
        <v>121978807</v>
      </c>
      <c r="B35" t="s">
        <v>341</v>
      </c>
      <c r="C35" t="s">
        <v>58</v>
      </c>
      <c r="D35" t="s">
        <v>30</v>
      </c>
      <c r="E35">
        <v>900</v>
      </c>
      <c r="F35" t="s">
        <v>359</v>
      </c>
      <c r="G35" t="s">
        <v>31</v>
      </c>
      <c r="H35" t="s">
        <v>22</v>
      </c>
      <c r="I35" s="1">
        <v>519085</v>
      </c>
      <c r="J35">
        <v>4</v>
      </c>
      <c r="K35" s="7">
        <f>Таблица1[[#This Row],[Штуки]]/SUMIFS(Таблица1[Штуки],Таблица1[Ветка],Таблица1[[#This Row],[Ветка]],Таблица1[Месяц],Таблица1[[#This Row],[Месяц]])</f>
        <v>1</v>
      </c>
      <c r="L35" s="1">
        <v>2016315</v>
      </c>
      <c r="M35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1</v>
      </c>
      <c r="N35" t="s">
        <v>23</v>
      </c>
      <c r="O35">
        <v>5</v>
      </c>
      <c r="P35">
        <v>4.8</v>
      </c>
      <c r="Q35">
        <v>13</v>
      </c>
      <c r="R35" t="s">
        <v>344</v>
      </c>
      <c r="S35">
        <v>214.5</v>
      </c>
      <c r="T35">
        <v>86</v>
      </c>
      <c r="U35">
        <v>89</v>
      </c>
      <c r="V35">
        <v>6</v>
      </c>
      <c r="W35">
        <v>-18</v>
      </c>
      <c r="AZ35" s="10" t="s">
        <v>287</v>
      </c>
      <c r="BA35">
        <v>4</v>
      </c>
      <c r="BB35" s="11">
        <v>1.1785503830288745E-3</v>
      </c>
      <c r="BC35" s="1">
        <v>2054121</v>
      </c>
      <c r="BD35" s="12">
        <v>1.9868179992310075E-3</v>
      </c>
    </row>
    <row r="36" spans="1:56" x14ac:dyDescent="0.3">
      <c r="A36">
        <v>141408862</v>
      </c>
      <c r="B36" t="s">
        <v>341</v>
      </c>
      <c r="C36" t="s">
        <v>59</v>
      </c>
      <c r="D36" t="s">
        <v>52</v>
      </c>
      <c r="E36">
        <v>600</v>
      </c>
      <c r="F36" t="s">
        <v>356</v>
      </c>
      <c r="G36" t="s">
        <v>21</v>
      </c>
      <c r="H36" t="s">
        <v>22</v>
      </c>
      <c r="I36" s="1">
        <v>371000</v>
      </c>
      <c r="J36">
        <v>5</v>
      </c>
      <c r="K36" s="7">
        <f>Таблица1[[#This Row],[Штуки]]/SUMIFS(Таблица1[Штуки],Таблица1[Ветка],Таблица1[[#This Row],[Ветка]],Таблица1[Месяц],Таблица1[[#This Row],[Месяц]])</f>
        <v>0.10638297872340426</v>
      </c>
      <c r="L36" s="1">
        <v>1900279</v>
      </c>
      <c r="M36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0.11802659928958419</v>
      </c>
      <c r="N36" t="s">
        <v>23</v>
      </c>
      <c r="O36">
        <v>4</v>
      </c>
      <c r="P36">
        <v>5</v>
      </c>
      <c r="Q36">
        <v>5</v>
      </c>
      <c r="R36" t="s">
        <v>344</v>
      </c>
      <c r="S36">
        <v>165</v>
      </c>
      <c r="T36">
        <v>86</v>
      </c>
      <c r="U36">
        <v>76</v>
      </c>
      <c r="V36">
        <v>5</v>
      </c>
      <c r="W36">
        <v>-18</v>
      </c>
      <c r="AZ36" s="10" t="s">
        <v>247</v>
      </c>
      <c r="BA36">
        <v>6</v>
      </c>
      <c r="BB36" s="11">
        <v>1.7678255745433118E-3</v>
      </c>
      <c r="BC36" s="1">
        <v>1982621</v>
      </c>
      <c r="BD36" s="12">
        <v>1.9176606872006953E-3</v>
      </c>
    </row>
    <row r="37" spans="1:56" x14ac:dyDescent="0.3">
      <c r="A37">
        <v>117232021</v>
      </c>
      <c r="B37" t="s">
        <v>341</v>
      </c>
      <c r="C37" t="s">
        <v>60</v>
      </c>
      <c r="D37" t="s">
        <v>25</v>
      </c>
      <c r="E37">
        <v>230</v>
      </c>
      <c r="F37" t="s">
        <v>352</v>
      </c>
      <c r="G37" t="s">
        <v>26</v>
      </c>
      <c r="H37" t="s">
        <v>22</v>
      </c>
      <c r="I37" s="1">
        <v>199650</v>
      </c>
      <c r="J37">
        <v>10</v>
      </c>
      <c r="K37" s="7">
        <f>Таблица1[[#This Row],[Штуки]]/SUMIFS(Таблица1[Штуки],Таблица1[Ветка],Таблица1[[#This Row],[Ветка]],Таблица1[Месяц],Таблица1[[#This Row],[Месяц]])</f>
        <v>0.12048192771084337</v>
      </c>
      <c r="L37" s="1">
        <v>1711405</v>
      </c>
      <c r="M37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0.12956875398891771</v>
      </c>
      <c r="N37" t="s">
        <v>57</v>
      </c>
      <c r="O37">
        <v>10</v>
      </c>
      <c r="P37">
        <v>5</v>
      </c>
      <c r="Q37">
        <v>18</v>
      </c>
      <c r="R37" t="s">
        <v>344</v>
      </c>
      <c r="S37">
        <v>88</v>
      </c>
      <c r="T37">
        <v>88.5</v>
      </c>
      <c r="U37">
        <v>66.5</v>
      </c>
      <c r="V37">
        <v>3</v>
      </c>
      <c r="W37">
        <v>-25</v>
      </c>
      <c r="AZ37" s="10" t="s">
        <v>67</v>
      </c>
      <c r="BA37">
        <v>6</v>
      </c>
      <c r="BB37" s="11">
        <v>1.7678255745433118E-3</v>
      </c>
      <c r="BC37" s="1">
        <v>1787480</v>
      </c>
      <c r="BD37" s="12">
        <v>1.7289134560551404E-3</v>
      </c>
    </row>
    <row r="38" spans="1:56" x14ac:dyDescent="0.3">
      <c r="A38">
        <v>102055246</v>
      </c>
      <c r="B38" t="s">
        <v>346</v>
      </c>
      <c r="C38" t="s">
        <v>61</v>
      </c>
      <c r="D38" t="s">
        <v>62</v>
      </c>
      <c r="E38">
        <v>700</v>
      </c>
      <c r="F38" t="s">
        <v>357</v>
      </c>
      <c r="G38" t="s">
        <v>26</v>
      </c>
      <c r="H38" t="s">
        <v>22</v>
      </c>
      <c r="I38" s="1">
        <v>632820</v>
      </c>
      <c r="J38">
        <v>2</v>
      </c>
      <c r="K38" s="7">
        <f>Таблица1[[#This Row],[Штуки]]/SUMIFS(Таблица1[Штуки],Таблица1[Ветка],Таблица1[[#This Row],[Ветка]],Таблица1[Месяц],Таблица1[[#This Row],[Месяц]])</f>
        <v>3.7037037037037035E-2</v>
      </c>
      <c r="L38" s="1">
        <v>1671768</v>
      </c>
      <c r="M38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7.5922473668571216E-2</v>
      </c>
      <c r="N38" t="s">
        <v>23</v>
      </c>
      <c r="O38">
        <v>3</v>
      </c>
      <c r="P38">
        <v>5</v>
      </c>
      <c r="Q38">
        <v>5</v>
      </c>
      <c r="R38" t="s">
        <v>344</v>
      </c>
      <c r="S38">
        <v>73</v>
      </c>
      <c r="T38">
        <v>199</v>
      </c>
      <c r="U38">
        <v>96</v>
      </c>
      <c r="V38">
        <v>0</v>
      </c>
      <c r="W38">
        <v>-18</v>
      </c>
      <c r="AZ38" s="10" t="s">
        <v>135</v>
      </c>
      <c r="BA38">
        <v>3</v>
      </c>
      <c r="BB38" s="11">
        <v>8.839127872716559E-4</v>
      </c>
      <c r="BC38" s="1">
        <v>1759523</v>
      </c>
      <c r="BD38" s="12">
        <v>1.7018724634337216E-3</v>
      </c>
    </row>
    <row r="39" spans="1:56" x14ac:dyDescent="0.3">
      <c r="A39">
        <v>121978911</v>
      </c>
      <c r="B39" t="s">
        <v>341</v>
      </c>
      <c r="C39" t="s">
        <v>63</v>
      </c>
      <c r="D39" t="s">
        <v>30</v>
      </c>
      <c r="E39">
        <v>518</v>
      </c>
      <c r="F39" t="s">
        <v>355</v>
      </c>
      <c r="G39" t="s">
        <v>31</v>
      </c>
      <c r="H39" t="s">
        <v>22</v>
      </c>
      <c r="I39" s="1">
        <v>309990</v>
      </c>
      <c r="J39">
        <v>5</v>
      </c>
      <c r="K39" s="7">
        <f>Таблица1[[#This Row],[Штуки]]/SUMIFS(Таблица1[Штуки],Таблица1[Ветка],Таблица1[[#This Row],[Ветка]],Таблица1[Месяц],Таблица1[[#This Row],[Месяц]])</f>
        <v>5.0505050505050504E-2</v>
      </c>
      <c r="L39" s="1">
        <v>1622728</v>
      </c>
      <c r="M39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5.6649514312195053E-2</v>
      </c>
      <c r="N39" t="s">
        <v>23</v>
      </c>
      <c r="O39">
        <v>8</v>
      </c>
      <c r="P39">
        <v>4.9000000000000004</v>
      </c>
      <c r="Q39">
        <v>55</v>
      </c>
      <c r="R39" t="s">
        <v>344</v>
      </c>
      <c r="S39">
        <v>147.5</v>
      </c>
      <c r="T39">
        <v>86</v>
      </c>
      <c r="U39">
        <v>75.7</v>
      </c>
      <c r="V39">
        <v>4</v>
      </c>
      <c r="W39">
        <v>-18</v>
      </c>
      <c r="AZ39" s="10" t="s">
        <v>157</v>
      </c>
      <c r="BA39">
        <v>6</v>
      </c>
      <c r="BB39" s="11">
        <v>1.7678255745433118E-3</v>
      </c>
      <c r="BC39" s="1">
        <v>1727579</v>
      </c>
      <c r="BD39" s="12">
        <v>1.6709751043358714E-3</v>
      </c>
    </row>
    <row r="40" spans="1:56" x14ac:dyDescent="0.3">
      <c r="A40">
        <v>132088486</v>
      </c>
      <c r="B40" t="s">
        <v>341</v>
      </c>
      <c r="C40" t="s">
        <v>64</v>
      </c>
      <c r="D40" t="s">
        <v>25</v>
      </c>
      <c r="E40">
        <v>680</v>
      </c>
      <c r="F40" t="s">
        <v>356</v>
      </c>
      <c r="G40" t="s">
        <v>26</v>
      </c>
      <c r="H40" t="s">
        <v>22</v>
      </c>
      <c r="I40" s="1">
        <v>371725</v>
      </c>
      <c r="J40">
        <v>4</v>
      </c>
      <c r="K40" s="7">
        <f>Таблица1[[#This Row],[Штуки]]/SUMIFS(Таблица1[Штуки],Таблица1[Ветка],Таблица1[[#This Row],[Ветка]],Таблица1[Месяц],Таблица1[[#This Row],[Месяц]])</f>
        <v>8.5106382978723402E-2</v>
      </c>
      <c r="L40" s="1">
        <v>1551990</v>
      </c>
      <c r="M40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9.6394319903257239E-2</v>
      </c>
      <c r="N40" t="s">
        <v>23</v>
      </c>
      <c r="O40">
        <v>5</v>
      </c>
      <c r="P40">
        <v>5</v>
      </c>
      <c r="Q40">
        <v>17</v>
      </c>
      <c r="R40" t="s">
        <v>344</v>
      </c>
      <c r="S40">
        <v>202.5</v>
      </c>
      <c r="T40">
        <v>88.5</v>
      </c>
      <c r="U40">
        <v>66.5</v>
      </c>
      <c r="V40">
        <v>6</v>
      </c>
      <c r="W40">
        <v>-25</v>
      </c>
      <c r="AZ40" s="10" t="s">
        <v>146</v>
      </c>
      <c r="BA40">
        <v>5</v>
      </c>
      <c r="BB40" s="11">
        <v>1.4731879787860931E-3</v>
      </c>
      <c r="BC40" s="1">
        <v>1556025</v>
      </c>
      <c r="BD40" s="12">
        <v>1.5050420482792535E-3</v>
      </c>
    </row>
    <row r="41" spans="1:56" x14ac:dyDescent="0.3">
      <c r="A41">
        <v>119264288</v>
      </c>
      <c r="B41" t="s">
        <v>341</v>
      </c>
      <c r="C41" t="s">
        <v>65</v>
      </c>
      <c r="D41" t="s">
        <v>35</v>
      </c>
      <c r="E41">
        <v>155</v>
      </c>
      <c r="F41" t="s">
        <v>351</v>
      </c>
      <c r="G41" t="s">
        <v>26</v>
      </c>
      <c r="H41" t="s">
        <v>22</v>
      </c>
      <c r="I41" s="1">
        <v>116500</v>
      </c>
      <c r="J41">
        <v>12</v>
      </c>
      <c r="K41" s="7">
        <f>Таблица1[[#This Row],[Штуки]]/SUMIFS(Таблица1[Штуки],Таблица1[Ветка],Таблица1[[#This Row],[Ветка]],Таблица1[Месяц],Таблица1[[#This Row],[Месяц]])</f>
        <v>0.5</v>
      </c>
      <c r="L41" s="1">
        <v>1406053</v>
      </c>
      <c r="M41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0.54956167659240829</v>
      </c>
      <c r="N41" t="s">
        <v>23</v>
      </c>
      <c r="O41">
        <v>1</v>
      </c>
      <c r="P41">
        <v>5</v>
      </c>
      <c r="Q41">
        <v>16</v>
      </c>
      <c r="R41" t="s">
        <v>342</v>
      </c>
      <c r="S41">
        <v>50</v>
      </c>
      <c r="T41">
        <v>80</v>
      </c>
      <c r="U41">
        <v>80</v>
      </c>
      <c r="V41">
        <v>3</v>
      </c>
      <c r="W41">
        <v>0</v>
      </c>
      <c r="AZ41" s="10" t="s">
        <v>251</v>
      </c>
      <c r="BA41">
        <v>3</v>
      </c>
      <c r="BB41" s="11">
        <v>8.839127872716559E-4</v>
      </c>
      <c r="BC41" s="1">
        <v>1258701</v>
      </c>
      <c r="BD41" s="12">
        <v>1.2174598295086163E-3</v>
      </c>
    </row>
    <row r="42" spans="1:56" x14ac:dyDescent="0.3">
      <c r="A42">
        <v>140053241</v>
      </c>
      <c r="B42" t="s">
        <v>341</v>
      </c>
      <c r="C42" t="s">
        <v>66</v>
      </c>
      <c r="D42" t="s">
        <v>67</v>
      </c>
      <c r="E42">
        <v>520</v>
      </c>
      <c r="F42" t="s">
        <v>355</v>
      </c>
      <c r="G42" t="s">
        <v>26</v>
      </c>
      <c r="H42" t="s">
        <v>22</v>
      </c>
      <c r="I42" s="1">
        <v>389990</v>
      </c>
      <c r="J42">
        <v>5</v>
      </c>
      <c r="K42" s="7">
        <f>Таблица1[[#This Row],[Штуки]]/SUMIFS(Таблица1[Штуки],Таблица1[Ветка],Таблица1[[#This Row],[Ветка]],Таблица1[Месяц],Таблица1[[#This Row],[Месяц]])</f>
        <v>5.0505050505050504E-2</v>
      </c>
      <c r="L42" s="1">
        <v>1397480</v>
      </c>
      <c r="M42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4.8786095550829432E-2</v>
      </c>
      <c r="N42" t="s">
        <v>57</v>
      </c>
      <c r="O42">
        <v>2</v>
      </c>
      <c r="P42">
        <v>5</v>
      </c>
      <c r="Q42">
        <v>6</v>
      </c>
      <c r="R42" t="s">
        <v>344</v>
      </c>
      <c r="S42">
        <v>166</v>
      </c>
      <c r="T42">
        <v>83</v>
      </c>
      <c r="U42">
        <v>69</v>
      </c>
      <c r="V42">
        <v>6</v>
      </c>
      <c r="W42">
        <v>-18</v>
      </c>
      <c r="AZ42" s="10" t="s">
        <v>253</v>
      </c>
      <c r="BA42">
        <v>1</v>
      </c>
      <c r="BB42" s="11">
        <v>2.9463759575721861E-4</v>
      </c>
      <c r="BC42" s="1">
        <v>701451</v>
      </c>
      <c r="BD42" s="12">
        <v>6.7846805148216163E-4</v>
      </c>
    </row>
    <row r="43" spans="1:56" x14ac:dyDescent="0.3">
      <c r="A43">
        <v>136188264</v>
      </c>
      <c r="B43" t="s">
        <v>341</v>
      </c>
      <c r="C43" t="s">
        <v>68</v>
      </c>
      <c r="D43" t="s">
        <v>30</v>
      </c>
      <c r="E43">
        <v>400</v>
      </c>
      <c r="F43" t="s">
        <v>354</v>
      </c>
      <c r="G43" t="s">
        <v>69</v>
      </c>
      <c r="H43" t="s">
        <v>22</v>
      </c>
      <c r="I43" s="1">
        <v>255000</v>
      </c>
      <c r="J43">
        <v>5</v>
      </c>
      <c r="K43" s="7">
        <f>Таблица1[[#This Row],[Штуки]]/SUMIFS(Таблица1[Штуки],Таблица1[Ветка],Таблица1[[#This Row],[Ветка]],Таблица1[Месяц],Таблица1[[#This Row],[Месяц]])</f>
        <v>0.35714285714285715</v>
      </c>
      <c r="L43" s="1">
        <v>1275000</v>
      </c>
      <c r="M43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0.366700489394159</v>
      </c>
      <c r="N43" t="s">
        <v>23</v>
      </c>
      <c r="O43">
        <v>2</v>
      </c>
      <c r="P43">
        <v>4.5999999999999996</v>
      </c>
      <c r="Q43">
        <v>19</v>
      </c>
      <c r="R43" t="s">
        <v>344</v>
      </c>
      <c r="S43">
        <v>144</v>
      </c>
      <c r="T43">
        <v>84.1</v>
      </c>
      <c r="U43">
        <v>66</v>
      </c>
      <c r="V43">
        <v>4</v>
      </c>
      <c r="W43">
        <v>-18</v>
      </c>
      <c r="AZ43" s="10" t="s">
        <v>298</v>
      </c>
      <c r="BA43">
        <v>2</v>
      </c>
      <c r="BB43" s="11">
        <v>5.8927519151443723E-4</v>
      </c>
      <c r="BC43" s="1">
        <v>645668</v>
      </c>
      <c r="BD43" s="12">
        <v>6.2451277404178534E-4</v>
      </c>
    </row>
    <row r="44" spans="1:56" x14ac:dyDescent="0.3">
      <c r="A44">
        <v>121586076</v>
      </c>
      <c r="B44" t="s">
        <v>343</v>
      </c>
      <c r="C44" t="s">
        <v>70</v>
      </c>
      <c r="D44" t="s">
        <v>71</v>
      </c>
      <c r="E44">
        <v>500</v>
      </c>
      <c r="F44" t="s">
        <v>355</v>
      </c>
      <c r="G44" t="s">
        <v>26</v>
      </c>
      <c r="H44" t="s">
        <v>22</v>
      </c>
      <c r="I44" s="1">
        <v>267700</v>
      </c>
      <c r="J44">
        <v>5</v>
      </c>
      <c r="K44" s="7">
        <f>Таблица1[[#This Row],[Штуки]]/SUMIFS(Таблица1[Штуки],Таблица1[Ветка],Таблица1[[#This Row],[Ветка]],Таблица1[Месяц],Таблица1[[#This Row],[Месяц]])</f>
        <v>5.0505050505050504E-2</v>
      </c>
      <c r="L44" s="1">
        <v>1262372</v>
      </c>
      <c r="M44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4.4069468624017269E-2</v>
      </c>
      <c r="N44" t="s">
        <v>57</v>
      </c>
      <c r="O44">
        <v>1</v>
      </c>
      <c r="P44">
        <v>5</v>
      </c>
      <c r="Q44">
        <v>2</v>
      </c>
      <c r="R44" t="s">
        <v>342</v>
      </c>
      <c r="S44">
        <v>165</v>
      </c>
      <c r="T44">
        <v>84</v>
      </c>
      <c r="U44">
        <v>77</v>
      </c>
      <c r="V44">
        <v>0</v>
      </c>
      <c r="W44">
        <v>-18</v>
      </c>
      <c r="AZ44" s="10" t="s">
        <v>334</v>
      </c>
      <c r="BA44">
        <v>1</v>
      </c>
      <c r="BB44" s="11">
        <v>2.9463759575721861E-4</v>
      </c>
      <c r="BC44" s="1">
        <v>399990</v>
      </c>
      <c r="BD44" s="12">
        <v>3.8688438096509925E-4</v>
      </c>
    </row>
    <row r="45" spans="1:56" x14ac:dyDescent="0.3">
      <c r="A45">
        <v>121978926</v>
      </c>
      <c r="B45" t="s">
        <v>341</v>
      </c>
      <c r="C45" t="s">
        <v>72</v>
      </c>
      <c r="D45" t="s">
        <v>30</v>
      </c>
      <c r="E45">
        <v>328</v>
      </c>
      <c r="F45" t="s">
        <v>353</v>
      </c>
      <c r="G45" t="s">
        <v>26</v>
      </c>
      <c r="H45" t="s">
        <v>22</v>
      </c>
      <c r="I45" s="1">
        <v>204900</v>
      </c>
      <c r="J45">
        <v>6</v>
      </c>
      <c r="K45" s="7">
        <f>Таблица1[[#This Row],[Штуки]]/SUMIFS(Таблица1[Штуки],Таблица1[Ветка],Таблица1[[#This Row],[Ветка]],Таблица1[Месяц],Таблица1[[#This Row],[Месяц]])</f>
        <v>0.14634146341463414</v>
      </c>
      <c r="L45" s="1">
        <v>1244478</v>
      </c>
      <c r="M45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0.15050065177790428</v>
      </c>
      <c r="N45" t="s">
        <v>23</v>
      </c>
      <c r="O45">
        <v>2</v>
      </c>
      <c r="P45">
        <v>4.9000000000000004</v>
      </c>
      <c r="Q45">
        <v>138</v>
      </c>
      <c r="R45" t="s">
        <v>344</v>
      </c>
      <c r="S45">
        <v>124</v>
      </c>
      <c r="T45">
        <v>82.6</v>
      </c>
      <c r="U45">
        <v>69.3</v>
      </c>
      <c r="V45">
        <v>4</v>
      </c>
      <c r="W45">
        <v>-18</v>
      </c>
      <c r="AZ45" s="10" t="s">
        <v>274</v>
      </c>
      <c r="BA45">
        <v>1</v>
      </c>
      <c r="BB45" s="11">
        <v>2.9463759575721861E-4</v>
      </c>
      <c r="BC45" s="1">
        <v>350000</v>
      </c>
      <c r="BD45" s="12">
        <v>3.3853229665187814E-4</v>
      </c>
    </row>
    <row r="46" spans="1:56" x14ac:dyDescent="0.3">
      <c r="A46">
        <v>148808069</v>
      </c>
      <c r="B46" t="s">
        <v>341</v>
      </c>
      <c r="C46" t="s">
        <v>73</v>
      </c>
      <c r="D46" t="s">
        <v>74</v>
      </c>
      <c r="E46">
        <v>420</v>
      </c>
      <c r="F46" t="s">
        <v>354</v>
      </c>
      <c r="G46" t="s">
        <v>26</v>
      </c>
      <c r="H46" t="s">
        <v>22</v>
      </c>
      <c r="I46" s="1">
        <v>279990</v>
      </c>
      <c r="J46">
        <v>5</v>
      </c>
      <c r="K46" s="7">
        <f>Таблица1[[#This Row],[Штуки]]/SUMIFS(Таблица1[Штуки],Таблица1[Ветка],Таблица1[[#This Row],[Ветка]],Таблица1[Месяц],Таблица1[[#This Row],[Месяц]])</f>
        <v>0.35714285714285715</v>
      </c>
      <c r="L46" s="1">
        <v>1149859</v>
      </c>
      <c r="M46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0.33070890826217908</v>
      </c>
      <c r="N46" t="s">
        <v>23</v>
      </c>
      <c r="O46">
        <v>2</v>
      </c>
      <c r="P46">
        <v>5</v>
      </c>
      <c r="Q46">
        <v>13</v>
      </c>
      <c r="R46" t="s">
        <v>342</v>
      </c>
      <c r="S46">
        <v>139.30000000000001</v>
      </c>
      <c r="T46">
        <v>89</v>
      </c>
      <c r="U46">
        <v>77.599999999999994</v>
      </c>
      <c r="V46">
        <v>6</v>
      </c>
      <c r="W46">
        <v>0</v>
      </c>
      <c r="AZ46" s="10" t="s">
        <v>276</v>
      </c>
      <c r="BA46">
        <v>1</v>
      </c>
      <c r="BB46" s="11">
        <v>2.9463759575721861E-4</v>
      </c>
      <c r="BC46" s="1">
        <v>349990</v>
      </c>
      <c r="BD46" s="12">
        <v>3.3852262430054524E-4</v>
      </c>
    </row>
    <row r="47" spans="1:56" x14ac:dyDescent="0.3">
      <c r="A47">
        <v>116903955</v>
      </c>
      <c r="B47" t="s">
        <v>343</v>
      </c>
      <c r="C47" t="s">
        <v>75</v>
      </c>
      <c r="D47" t="s">
        <v>30</v>
      </c>
      <c r="E47">
        <v>750</v>
      </c>
      <c r="F47" t="s">
        <v>357</v>
      </c>
      <c r="G47" t="s">
        <v>26</v>
      </c>
      <c r="H47" t="s">
        <v>22</v>
      </c>
      <c r="I47" s="1">
        <v>309990</v>
      </c>
      <c r="J47">
        <v>3</v>
      </c>
      <c r="K47" s="7">
        <f>Таблица1[[#This Row],[Штуки]]/SUMIFS(Таблица1[Штуки],Таблица1[Ветка],Таблица1[[#This Row],[Ветка]],Таблица1[Месяц],Таблица1[[#This Row],[Месяц]])</f>
        <v>5.5555555555555552E-2</v>
      </c>
      <c r="L47" s="1">
        <v>1135938</v>
      </c>
      <c r="M47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5.1588033084811677E-2</v>
      </c>
      <c r="N47" t="s">
        <v>23</v>
      </c>
      <c r="O47">
        <v>1</v>
      </c>
      <c r="P47">
        <v>4.9000000000000004</v>
      </c>
      <c r="Q47">
        <v>22</v>
      </c>
      <c r="R47" t="s">
        <v>342</v>
      </c>
      <c r="S47">
        <v>188</v>
      </c>
      <c r="T47">
        <v>95.2</v>
      </c>
      <c r="U47">
        <v>73.5</v>
      </c>
      <c r="V47">
        <v>1</v>
      </c>
      <c r="W47">
        <v>-18</v>
      </c>
      <c r="AZ47" s="10" t="s">
        <v>160</v>
      </c>
      <c r="BA47">
        <v>1</v>
      </c>
      <c r="BB47" s="11">
        <v>2.9463759575721861E-4</v>
      </c>
      <c r="BC47" s="1">
        <v>259990</v>
      </c>
      <c r="BD47" s="12">
        <v>2.5147146230434798E-4</v>
      </c>
    </row>
    <row r="48" spans="1:56" x14ac:dyDescent="0.3">
      <c r="A48">
        <v>116443884</v>
      </c>
      <c r="B48" t="s">
        <v>346</v>
      </c>
      <c r="C48" t="s">
        <v>76</v>
      </c>
      <c r="D48" t="s">
        <v>77</v>
      </c>
      <c r="E48">
        <v>1200</v>
      </c>
      <c r="F48" t="s">
        <v>362</v>
      </c>
      <c r="G48" t="s">
        <v>78</v>
      </c>
      <c r="H48" t="s">
        <v>22</v>
      </c>
      <c r="I48" s="1">
        <v>1068000</v>
      </c>
      <c r="J48">
        <v>1</v>
      </c>
      <c r="K48" s="7">
        <f>Таблица1[[#This Row],[Штуки]]/SUMIFS(Таблица1[Штуки],Таблица1[Ветка],Таблица1[[#This Row],[Ветка]],Таблица1[Месяц],Таблица1[[#This Row],[Месяц]])</f>
        <v>0.1111111111111111</v>
      </c>
      <c r="L48" s="1">
        <v>1126713</v>
      </c>
      <c r="M48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0.1989297431404724</v>
      </c>
      <c r="N48" t="s">
        <v>57</v>
      </c>
      <c r="O48">
        <v>1</v>
      </c>
      <c r="P48">
        <v>5</v>
      </c>
      <c r="Q48">
        <v>1</v>
      </c>
      <c r="R48" t="s">
        <v>342</v>
      </c>
      <c r="S48">
        <v>140</v>
      </c>
      <c r="T48">
        <v>215</v>
      </c>
      <c r="U48">
        <v>70</v>
      </c>
      <c r="V48">
        <v>0</v>
      </c>
      <c r="W48">
        <v>-18</v>
      </c>
      <c r="AZ48" s="10" t="s">
        <v>375</v>
      </c>
      <c r="BA48">
        <v>3394</v>
      </c>
      <c r="BB48" s="11">
        <v>1</v>
      </c>
      <c r="BC48" s="1">
        <v>1033874769</v>
      </c>
      <c r="BD48" s="12">
        <v>1</v>
      </c>
    </row>
    <row r="49" spans="1:23" x14ac:dyDescent="0.3">
      <c r="A49">
        <v>120309401</v>
      </c>
      <c r="B49" t="s">
        <v>343</v>
      </c>
      <c r="C49" t="s">
        <v>79</v>
      </c>
      <c r="D49" t="s">
        <v>30</v>
      </c>
      <c r="E49">
        <v>550</v>
      </c>
      <c r="F49" t="s">
        <v>355</v>
      </c>
      <c r="G49" t="s">
        <v>26</v>
      </c>
      <c r="H49" t="s">
        <v>22</v>
      </c>
      <c r="I49" s="1">
        <v>274990</v>
      </c>
      <c r="J49">
        <v>4</v>
      </c>
      <c r="K49" s="7">
        <f>Таблица1[[#This Row],[Штуки]]/SUMIFS(Таблица1[Штуки],Таблица1[Ветка],Таблица1[[#This Row],[Ветка]],Таблица1[Месяц],Таблица1[[#This Row],[Месяц]])</f>
        <v>4.0404040404040407E-2</v>
      </c>
      <c r="L49" s="1">
        <v>1079063</v>
      </c>
      <c r="M49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3.7670142415894795E-2</v>
      </c>
      <c r="N49" t="s">
        <v>23</v>
      </c>
      <c r="O49">
        <v>3</v>
      </c>
      <c r="P49">
        <v>5</v>
      </c>
      <c r="Q49">
        <v>50</v>
      </c>
      <c r="R49" t="s">
        <v>344</v>
      </c>
      <c r="S49">
        <v>165</v>
      </c>
      <c r="T49">
        <v>83.5</v>
      </c>
      <c r="U49">
        <v>73</v>
      </c>
      <c r="V49">
        <v>2</v>
      </c>
      <c r="W49">
        <v>-18</v>
      </c>
    </row>
    <row r="50" spans="1:23" x14ac:dyDescent="0.3">
      <c r="A50">
        <v>122619339</v>
      </c>
      <c r="B50" t="s">
        <v>341</v>
      </c>
      <c r="C50" t="s">
        <v>80</v>
      </c>
      <c r="D50" t="s">
        <v>81</v>
      </c>
      <c r="E50">
        <v>1300</v>
      </c>
      <c r="F50" t="s">
        <v>363</v>
      </c>
      <c r="G50" t="s">
        <v>82</v>
      </c>
      <c r="H50" t="s">
        <v>22</v>
      </c>
      <c r="I50" s="1">
        <v>995000</v>
      </c>
      <c r="J50">
        <v>1</v>
      </c>
      <c r="K50" s="7">
        <f>Таблица1[[#This Row],[Штуки]]/SUMIFS(Таблица1[Штуки],Таблица1[Ветка],Таблица1[[#This Row],[Ветка]],Таблица1[Месяц],Таблица1[[#This Row],[Месяц]])</f>
        <v>0.33333333333333331</v>
      </c>
      <c r="L50" s="1">
        <v>1040330</v>
      </c>
      <c r="M50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0.48380488571642494</v>
      </c>
      <c r="N50" t="s">
        <v>57</v>
      </c>
      <c r="O50">
        <v>1</v>
      </c>
      <c r="P50">
        <v>5</v>
      </c>
      <c r="Q50">
        <v>1</v>
      </c>
      <c r="R50" t="s">
        <v>342</v>
      </c>
      <c r="S50">
        <v>275</v>
      </c>
      <c r="T50">
        <v>102</v>
      </c>
      <c r="U50">
        <v>104</v>
      </c>
      <c r="V50">
        <v>6</v>
      </c>
      <c r="W50">
        <v>-25</v>
      </c>
    </row>
    <row r="51" spans="1:23" x14ac:dyDescent="0.3">
      <c r="A51">
        <v>148461790</v>
      </c>
      <c r="B51" t="s">
        <v>341</v>
      </c>
      <c r="C51" t="s">
        <v>83</v>
      </c>
      <c r="D51" t="s">
        <v>84</v>
      </c>
      <c r="E51">
        <v>640</v>
      </c>
      <c r="F51" t="s">
        <v>356</v>
      </c>
      <c r="G51" t="s">
        <v>36</v>
      </c>
      <c r="H51" t="s">
        <v>22</v>
      </c>
      <c r="I51" s="1">
        <v>410000</v>
      </c>
      <c r="J51">
        <v>2</v>
      </c>
      <c r="K51" s="7">
        <f>Таблица1[[#This Row],[Штуки]]/SUMIFS(Таблица1[Штуки],Таблица1[Ветка],Таблица1[[#This Row],[Ветка]],Таблица1[Месяц],Таблица1[[#This Row],[Месяц]])</f>
        <v>4.2553191489361701E-2</v>
      </c>
      <c r="L51" s="1">
        <v>900334</v>
      </c>
      <c r="M51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5.5919872947492705E-2</v>
      </c>
      <c r="N51" t="s">
        <v>57</v>
      </c>
      <c r="O51">
        <v>1</v>
      </c>
      <c r="P51">
        <v>0</v>
      </c>
      <c r="Q51">
        <v>0</v>
      </c>
      <c r="R51" t="s">
        <v>342</v>
      </c>
      <c r="S51">
        <v>180</v>
      </c>
      <c r="T51">
        <v>85</v>
      </c>
      <c r="U51">
        <v>77</v>
      </c>
      <c r="V51">
        <v>6</v>
      </c>
      <c r="W51">
        <v>-22</v>
      </c>
    </row>
    <row r="52" spans="1:23" x14ac:dyDescent="0.3">
      <c r="A52">
        <v>137444909</v>
      </c>
      <c r="B52" t="s">
        <v>341</v>
      </c>
      <c r="C52" t="s">
        <v>85</v>
      </c>
      <c r="D52" t="s">
        <v>20</v>
      </c>
      <c r="E52">
        <v>500</v>
      </c>
      <c r="F52" t="s">
        <v>355</v>
      </c>
      <c r="G52" t="s">
        <v>21</v>
      </c>
      <c r="H52" t="s">
        <v>22</v>
      </c>
      <c r="I52" s="1">
        <v>298900</v>
      </c>
      <c r="J52">
        <v>3</v>
      </c>
      <c r="K52" s="7">
        <f>Таблица1[[#This Row],[Штуки]]/SUMIFS(Таблица1[Штуки],Таблица1[Ветка],Таблица1[[#This Row],[Ветка]],Таблица1[Месяц],Таблица1[[#This Row],[Месяц]])</f>
        <v>3.0303030303030304E-2</v>
      </c>
      <c r="L52" s="1">
        <v>877754</v>
      </c>
      <c r="M52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3.064243532223913E-2</v>
      </c>
      <c r="N52" t="s">
        <v>23</v>
      </c>
      <c r="O52">
        <v>1</v>
      </c>
      <c r="P52">
        <v>5</v>
      </c>
      <c r="Q52">
        <v>0</v>
      </c>
      <c r="R52" t="s">
        <v>342</v>
      </c>
      <c r="S52">
        <v>150</v>
      </c>
      <c r="T52">
        <v>85</v>
      </c>
      <c r="U52">
        <v>76</v>
      </c>
      <c r="V52">
        <v>5</v>
      </c>
      <c r="W52">
        <v>-24</v>
      </c>
    </row>
    <row r="53" spans="1:23" x14ac:dyDescent="0.3">
      <c r="A53">
        <v>110555379</v>
      </c>
      <c r="B53" t="s">
        <v>341</v>
      </c>
      <c r="C53" t="s">
        <v>86</v>
      </c>
      <c r="D53" t="s">
        <v>87</v>
      </c>
      <c r="E53">
        <v>800</v>
      </c>
      <c r="F53" t="s">
        <v>358</v>
      </c>
      <c r="G53" t="s">
        <v>88</v>
      </c>
      <c r="H53" t="s">
        <v>22</v>
      </c>
      <c r="I53" s="1">
        <v>530000</v>
      </c>
      <c r="J53">
        <v>2</v>
      </c>
      <c r="K53" s="7">
        <f>Таблица1[[#This Row],[Штуки]]/SUMIFS(Таблица1[Штуки],Таблица1[Ветка],Таблица1[[#This Row],[Ветка]],Таблица1[Месяц],Таблица1[[#This Row],[Месяц]])</f>
        <v>0.15384615384615385</v>
      </c>
      <c r="L53" s="1">
        <v>875000</v>
      </c>
      <c r="M53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0.15784448295649392</v>
      </c>
      <c r="N53" t="s">
        <v>23</v>
      </c>
      <c r="O53">
        <v>1</v>
      </c>
      <c r="P53">
        <v>4.8</v>
      </c>
      <c r="Q53">
        <v>41</v>
      </c>
      <c r="R53" t="s">
        <v>344</v>
      </c>
      <c r="S53">
        <v>200</v>
      </c>
      <c r="T53">
        <v>84</v>
      </c>
      <c r="U53">
        <v>60</v>
      </c>
      <c r="V53">
        <v>9</v>
      </c>
      <c r="W53">
        <v>-22</v>
      </c>
    </row>
    <row r="54" spans="1:23" x14ac:dyDescent="0.3">
      <c r="A54">
        <v>114880698</v>
      </c>
      <c r="B54" t="s">
        <v>341</v>
      </c>
      <c r="C54" t="s">
        <v>89</v>
      </c>
      <c r="D54" t="s">
        <v>46</v>
      </c>
      <c r="E54">
        <v>1110</v>
      </c>
      <c r="F54" t="s">
        <v>361</v>
      </c>
      <c r="G54" t="s">
        <v>26</v>
      </c>
      <c r="H54" t="s">
        <v>22</v>
      </c>
      <c r="I54" s="1">
        <v>1070000</v>
      </c>
      <c r="J54">
        <v>1</v>
      </c>
      <c r="K54" s="7">
        <f>Таблица1[[#This Row],[Штуки]]/SUMIFS(Таблица1[Штуки],Таблица1[Ветка],Таблица1[[#This Row],[Ветка]],Таблица1[Месяц],Таблица1[[#This Row],[Месяц]])</f>
        <v>1</v>
      </c>
      <c r="L54" s="1">
        <v>850936</v>
      </c>
      <c r="M54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1</v>
      </c>
      <c r="N54" t="s">
        <v>57</v>
      </c>
      <c r="O54">
        <v>1</v>
      </c>
      <c r="P54">
        <v>5</v>
      </c>
      <c r="Q54">
        <v>1</v>
      </c>
      <c r="R54" t="s">
        <v>345</v>
      </c>
      <c r="S54">
        <v>250</v>
      </c>
      <c r="T54">
        <v>81</v>
      </c>
      <c r="U54">
        <v>85.5</v>
      </c>
      <c r="V54">
        <v>7</v>
      </c>
      <c r="W54">
        <v>-24</v>
      </c>
    </row>
    <row r="55" spans="1:23" x14ac:dyDescent="0.3">
      <c r="A55">
        <v>153608532</v>
      </c>
      <c r="B55" t="s">
        <v>343</v>
      </c>
      <c r="C55" t="s">
        <v>90</v>
      </c>
      <c r="D55" t="s">
        <v>91</v>
      </c>
      <c r="E55">
        <v>720</v>
      </c>
      <c r="F55" t="s">
        <v>357</v>
      </c>
      <c r="G55" t="s">
        <v>31</v>
      </c>
      <c r="H55" t="s">
        <v>22</v>
      </c>
      <c r="I55" s="1">
        <v>278000</v>
      </c>
      <c r="J55">
        <v>3</v>
      </c>
      <c r="K55" s="7">
        <f>Таблица1[[#This Row],[Штуки]]/SUMIFS(Таблица1[Штуки],Таблица1[Ветка],Таблица1[[#This Row],[Ветка]],Таблица1[Месяц],Таблица1[[#This Row],[Месяц]])</f>
        <v>5.5555555555555552E-2</v>
      </c>
      <c r="L55" s="1">
        <v>839970</v>
      </c>
      <c r="M55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3.8146800397776341E-2</v>
      </c>
      <c r="N55" t="s">
        <v>23</v>
      </c>
      <c r="O55">
        <v>2</v>
      </c>
      <c r="P55">
        <v>5</v>
      </c>
      <c r="Q55">
        <v>1</v>
      </c>
      <c r="R55" t="s">
        <v>342</v>
      </c>
      <c r="S55">
        <v>180</v>
      </c>
      <c r="T55">
        <v>80.599999999999994</v>
      </c>
      <c r="U55">
        <v>71</v>
      </c>
      <c r="V55">
        <v>0</v>
      </c>
      <c r="W55">
        <v>-18</v>
      </c>
    </row>
    <row r="56" spans="1:23" x14ac:dyDescent="0.3">
      <c r="A56">
        <v>100620910</v>
      </c>
      <c r="B56" t="s">
        <v>343</v>
      </c>
      <c r="C56" t="s">
        <v>92</v>
      </c>
      <c r="D56" t="s">
        <v>93</v>
      </c>
      <c r="E56">
        <v>555</v>
      </c>
      <c r="F56" t="s">
        <v>355</v>
      </c>
      <c r="G56" t="s">
        <v>26</v>
      </c>
      <c r="H56" t="s">
        <v>22</v>
      </c>
      <c r="I56" s="1">
        <v>267940</v>
      </c>
      <c r="J56">
        <v>3</v>
      </c>
      <c r="K56" s="7">
        <f>Таблица1[[#This Row],[Штуки]]/SUMIFS(Таблица1[Штуки],Таблица1[Ветка],Таблица1[[#This Row],[Ветка]],Таблица1[Месяц],Таблица1[[#This Row],[Месяц]])</f>
        <v>3.0303030303030304E-2</v>
      </c>
      <c r="L56" s="1">
        <v>804000</v>
      </c>
      <c r="M56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2.8067679553816057E-2</v>
      </c>
      <c r="N56" t="s">
        <v>57</v>
      </c>
      <c r="O56">
        <v>2</v>
      </c>
      <c r="P56">
        <v>5</v>
      </c>
      <c r="Q56">
        <v>4</v>
      </c>
      <c r="R56" t="s">
        <v>344</v>
      </c>
      <c r="S56">
        <v>160</v>
      </c>
      <c r="T56">
        <v>82.7</v>
      </c>
      <c r="U56">
        <v>76</v>
      </c>
      <c r="V56">
        <v>2</v>
      </c>
      <c r="W56">
        <v>-18</v>
      </c>
    </row>
    <row r="57" spans="1:23" x14ac:dyDescent="0.3">
      <c r="A57">
        <v>139085554</v>
      </c>
      <c r="B57" t="s">
        <v>341</v>
      </c>
      <c r="C57" t="s">
        <v>94</v>
      </c>
      <c r="D57" t="s">
        <v>52</v>
      </c>
      <c r="E57">
        <v>326</v>
      </c>
      <c r="F57" t="s">
        <v>353</v>
      </c>
      <c r="G57" t="s">
        <v>21</v>
      </c>
      <c r="H57" t="s">
        <v>22</v>
      </c>
      <c r="I57" s="1">
        <v>199000</v>
      </c>
      <c r="J57">
        <v>4</v>
      </c>
      <c r="K57" s="7">
        <f>Таблица1[[#This Row],[Штуки]]/SUMIFS(Таблица1[Штуки],Таблица1[Ветка],Таблица1[[#This Row],[Ветка]],Таблица1[Месяц],Таблица1[[#This Row],[Месяц]])</f>
        <v>9.7560975609756101E-2</v>
      </c>
      <c r="L57" s="1">
        <v>796000</v>
      </c>
      <c r="M57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9.6264071213160704E-2</v>
      </c>
      <c r="N57" t="s">
        <v>23</v>
      </c>
      <c r="O57">
        <v>5</v>
      </c>
      <c r="P57">
        <v>5</v>
      </c>
      <c r="Q57">
        <v>2</v>
      </c>
      <c r="R57" t="s">
        <v>344</v>
      </c>
      <c r="S57">
        <v>125</v>
      </c>
      <c r="T57">
        <v>91</v>
      </c>
      <c r="U57">
        <v>62</v>
      </c>
      <c r="V57">
        <v>3</v>
      </c>
      <c r="W57">
        <v>-18</v>
      </c>
    </row>
    <row r="58" spans="1:23" x14ac:dyDescent="0.3">
      <c r="A58">
        <v>107031735</v>
      </c>
      <c r="B58" t="s">
        <v>346</v>
      </c>
      <c r="C58" t="s">
        <v>95</v>
      </c>
      <c r="D58" t="s">
        <v>41</v>
      </c>
      <c r="E58">
        <v>600</v>
      </c>
      <c r="F58" t="s">
        <v>356</v>
      </c>
      <c r="G58" t="s">
        <v>78</v>
      </c>
      <c r="H58" t="s">
        <v>22</v>
      </c>
      <c r="I58" s="1">
        <v>731000</v>
      </c>
      <c r="J58">
        <v>1</v>
      </c>
      <c r="K58" s="7">
        <f>Таблица1[[#This Row],[Штуки]]/SUMIFS(Таблица1[Штуки],Таблица1[Ветка],Таблица1[[#This Row],[Ветка]],Таблица1[Месяц],Таблица1[[#This Row],[Месяц]])</f>
        <v>2.1276595744680851E-2</v>
      </c>
      <c r="L58" s="1">
        <v>731000</v>
      </c>
      <c r="M58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4.5402514094344065E-2</v>
      </c>
      <c r="N58" t="s">
        <v>96</v>
      </c>
      <c r="O58">
        <v>1</v>
      </c>
      <c r="P58">
        <v>5</v>
      </c>
      <c r="Q58">
        <v>0</v>
      </c>
      <c r="R58" t="s">
        <v>345</v>
      </c>
      <c r="S58">
        <v>70</v>
      </c>
      <c r="T58">
        <v>200</v>
      </c>
      <c r="U58">
        <v>80</v>
      </c>
      <c r="V58">
        <v>0</v>
      </c>
      <c r="W58">
        <v>-18</v>
      </c>
    </row>
    <row r="59" spans="1:23" x14ac:dyDescent="0.3">
      <c r="A59">
        <v>121978785</v>
      </c>
      <c r="B59" t="s">
        <v>341</v>
      </c>
      <c r="C59" t="s">
        <v>97</v>
      </c>
      <c r="D59" t="s">
        <v>30</v>
      </c>
      <c r="E59">
        <v>1000</v>
      </c>
      <c r="F59" t="s">
        <v>360</v>
      </c>
      <c r="G59" t="s">
        <v>31</v>
      </c>
      <c r="H59" t="s">
        <v>22</v>
      </c>
      <c r="I59" s="1">
        <v>679990</v>
      </c>
      <c r="J59">
        <v>1</v>
      </c>
      <c r="K59" s="7">
        <f>Таблица1[[#This Row],[Штуки]]/SUMIFS(Таблица1[Штуки],Таблица1[Ветка],Таблица1[[#This Row],[Ветка]],Таблица1[Месяц],Таблица1[[#This Row],[Месяц]])</f>
        <v>5.2631578947368418E-2</v>
      </c>
      <c r="L59" s="1">
        <v>702550</v>
      </c>
      <c r="M59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6.077326989949379E-2</v>
      </c>
      <c r="N59" t="s">
        <v>23</v>
      </c>
      <c r="O59">
        <v>2</v>
      </c>
      <c r="P59">
        <v>4.9000000000000004</v>
      </c>
      <c r="Q59">
        <v>47</v>
      </c>
      <c r="R59" t="s">
        <v>344</v>
      </c>
      <c r="S59">
        <v>254.5</v>
      </c>
      <c r="T59">
        <v>86</v>
      </c>
      <c r="U59">
        <v>89</v>
      </c>
      <c r="V59">
        <v>5</v>
      </c>
      <c r="W59">
        <v>0</v>
      </c>
    </row>
    <row r="60" spans="1:23" x14ac:dyDescent="0.3">
      <c r="A60">
        <v>134730774</v>
      </c>
      <c r="B60" t="s">
        <v>341</v>
      </c>
      <c r="C60" t="s">
        <v>98</v>
      </c>
      <c r="D60" t="s">
        <v>41</v>
      </c>
      <c r="E60">
        <v>800</v>
      </c>
      <c r="F60" t="s">
        <v>358</v>
      </c>
      <c r="G60" t="s">
        <v>21</v>
      </c>
      <c r="H60" t="s">
        <v>22</v>
      </c>
      <c r="I60" s="1">
        <v>690000</v>
      </c>
      <c r="J60">
        <v>1</v>
      </c>
      <c r="K60" s="7">
        <f>Таблица1[[#This Row],[Штуки]]/SUMIFS(Таблица1[Штуки],Таблица1[Ветка],Таблица1[[#This Row],[Ветка]],Таблица1[Месяц],Таблица1[[#This Row],[Месяц]])</f>
        <v>7.6923076923076927E-2</v>
      </c>
      <c r="L60" s="1">
        <v>690000</v>
      </c>
      <c r="M60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0.12447164941712091</v>
      </c>
      <c r="N60" t="s">
        <v>96</v>
      </c>
      <c r="O60">
        <v>1</v>
      </c>
      <c r="P60">
        <v>0</v>
      </c>
      <c r="Q60">
        <v>0</v>
      </c>
      <c r="R60" t="s">
        <v>344</v>
      </c>
      <c r="S60">
        <v>210</v>
      </c>
      <c r="T60">
        <v>85</v>
      </c>
      <c r="U60">
        <v>87</v>
      </c>
      <c r="V60">
        <v>4</v>
      </c>
      <c r="W60">
        <v>-22</v>
      </c>
    </row>
    <row r="61" spans="1:23" x14ac:dyDescent="0.3">
      <c r="A61">
        <v>138886743</v>
      </c>
      <c r="B61" t="s">
        <v>346</v>
      </c>
      <c r="C61" t="s">
        <v>99</v>
      </c>
      <c r="D61" t="s">
        <v>100</v>
      </c>
      <c r="E61">
        <v>1200</v>
      </c>
      <c r="F61" t="s">
        <v>362</v>
      </c>
      <c r="G61" t="s">
        <v>101</v>
      </c>
      <c r="H61" t="s">
        <v>22</v>
      </c>
      <c r="I61" s="1">
        <v>539065</v>
      </c>
      <c r="J61">
        <v>1</v>
      </c>
      <c r="K61" s="7">
        <f>Таблица1[[#This Row],[Штуки]]/SUMIFS(Таблица1[Штуки],Таблица1[Ветка],Таблица1[[#This Row],[Ветка]],Таблица1[Месяц],Таблица1[[#This Row],[Месяц]])</f>
        <v>0.1111111111111111</v>
      </c>
      <c r="L61" s="1">
        <v>660000</v>
      </c>
      <c r="M61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0.11652801598340641</v>
      </c>
      <c r="N61" t="s">
        <v>23</v>
      </c>
      <c r="O61">
        <v>3</v>
      </c>
      <c r="P61">
        <v>5</v>
      </c>
      <c r="Q61">
        <v>3</v>
      </c>
      <c r="R61" t="s">
        <v>342</v>
      </c>
      <c r="S61">
        <v>120</v>
      </c>
      <c r="T61">
        <v>196</v>
      </c>
      <c r="U61">
        <v>76</v>
      </c>
      <c r="V61">
        <v>0</v>
      </c>
      <c r="W61">
        <v>-14</v>
      </c>
    </row>
    <row r="62" spans="1:23" x14ac:dyDescent="0.3">
      <c r="A62">
        <v>118087013</v>
      </c>
      <c r="B62" t="s">
        <v>341</v>
      </c>
      <c r="C62" t="s">
        <v>102</v>
      </c>
      <c r="D62" t="s">
        <v>25</v>
      </c>
      <c r="E62">
        <v>500</v>
      </c>
      <c r="F62" t="s">
        <v>355</v>
      </c>
      <c r="G62" t="s">
        <v>26</v>
      </c>
      <c r="H62" t="s">
        <v>22</v>
      </c>
      <c r="I62" s="1">
        <v>323451</v>
      </c>
      <c r="J62">
        <v>2</v>
      </c>
      <c r="K62" s="7">
        <f>Таблица1[[#This Row],[Штуки]]/SUMIFS(Таблица1[Штуки],Таблица1[Ветка],Таблица1[[#This Row],[Ветка]],Таблица1[Месяц],Таблица1[[#This Row],[Месяц]])</f>
        <v>2.0202020202020204E-2</v>
      </c>
      <c r="L62" s="1">
        <v>631004</v>
      </c>
      <c r="M62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2.2028380683054911E-2</v>
      </c>
      <c r="N62" t="s">
        <v>57</v>
      </c>
      <c r="O62">
        <v>1</v>
      </c>
      <c r="P62">
        <v>5</v>
      </c>
      <c r="Q62">
        <v>11</v>
      </c>
      <c r="R62" t="s">
        <v>344</v>
      </c>
      <c r="S62">
        <v>155.5</v>
      </c>
      <c r="T62">
        <v>88.5</v>
      </c>
      <c r="U62">
        <v>66.5</v>
      </c>
      <c r="V62">
        <v>6</v>
      </c>
      <c r="W62">
        <v>-25</v>
      </c>
    </row>
    <row r="63" spans="1:23" x14ac:dyDescent="0.3">
      <c r="A63">
        <v>131142601</v>
      </c>
      <c r="B63" t="s">
        <v>343</v>
      </c>
      <c r="C63" t="s">
        <v>103</v>
      </c>
      <c r="D63" t="s">
        <v>104</v>
      </c>
      <c r="E63">
        <v>650</v>
      </c>
      <c r="F63" t="s">
        <v>356</v>
      </c>
      <c r="G63" t="s">
        <v>26</v>
      </c>
      <c r="H63" t="s">
        <v>22</v>
      </c>
      <c r="I63" s="1">
        <v>500000</v>
      </c>
      <c r="J63">
        <v>1</v>
      </c>
      <c r="K63" s="7">
        <f>Таблица1[[#This Row],[Штуки]]/SUMIFS(Таблица1[Штуки],Таблица1[Ветка],Таблица1[[#This Row],[Ветка]],Таблица1[Месяц],Таблица1[[#This Row],[Месяц]])</f>
        <v>2.1276595744680851E-2</v>
      </c>
      <c r="L63" s="1">
        <v>600000</v>
      </c>
      <c r="M63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3.7266085439954091E-2</v>
      </c>
      <c r="N63" t="s">
        <v>96</v>
      </c>
      <c r="O63">
        <v>1</v>
      </c>
      <c r="P63">
        <v>5</v>
      </c>
      <c r="Q63">
        <v>3</v>
      </c>
      <c r="R63" t="s">
        <v>344</v>
      </c>
      <c r="S63">
        <v>193</v>
      </c>
      <c r="T63">
        <v>82.5</v>
      </c>
      <c r="U63">
        <v>71</v>
      </c>
      <c r="V63">
        <v>0</v>
      </c>
      <c r="W63">
        <v>-18</v>
      </c>
    </row>
    <row r="64" spans="1:23" x14ac:dyDescent="0.3">
      <c r="A64">
        <v>140611569</v>
      </c>
      <c r="B64" t="s">
        <v>343</v>
      </c>
      <c r="C64" t="s">
        <v>105</v>
      </c>
      <c r="D64" t="s">
        <v>50</v>
      </c>
      <c r="E64">
        <v>1380</v>
      </c>
      <c r="F64" t="s">
        <v>363</v>
      </c>
      <c r="G64" t="s">
        <v>26</v>
      </c>
      <c r="H64" t="s">
        <v>22</v>
      </c>
      <c r="I64" s="1">
        <v>599988</v>
      </c>
      <c r="J64">
        <v>1</v>
      </c>
      <c r="K64" s="7">
        <f>Таблица1[[#This Row],[Штуки]]/SUMIFS(Таблица1[Штуки],Таблица1[Ветка],Таблица1[[#This Row],[Ветка]],Таблица1[Месяц],Таблица1[[#This Row],[Месяц]])</f>
        <v>0.33333333333333331</v>
      </c>
      <c r="L64" s="1">
        <v>589989</v>
      </c>
      <c r="M64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0.2743740550776656</v>
      </c>
      <c r="N64" t="s">
        <v>57</v>
      </c>
      <c r="O64">
        <v>2</v>
      </c>
      <c r="P64">
        <v>5</v>
      </c>
      <c r="Q64">
        <v>2</v>
      </c>
      <c r="R64" t="s">
        <v>344</v>
      </c>
      <c r="S64">
        <v>260</v>
      </c>
      <c r="T64">
        <v>93</v>
      </c>
      <c r="U64">
        <v>89</v>
      </c>
      <c r="V64">
        <v>0</v>
      </c>
      <c r="W64">
        <v>-18</v>
      </c>
    </row>
    <row r="65" spans="1:23" x14ac:dyDescent="0.3">
      <c r="A65">
        <v>141167073</v>
      </c>
      <c r="B65" t="s">
        <v>343</v>
      </c>
      <c r="C65" t="s">
        <v>106</v>
      </c>
      <c r="D65" t="s">
        <v>107</v>
      </c>
      <c r="E65">
        <v>502</v>
      </c>
      <c r="F65" t="s">
        <v>355</v>
      </c>
      <c r="G65" t="s">
        <v>26</v>
      </c>
      <c r="H65" t="s">
        <v>22</v>
      </c>
      <c r="I65" s="1">
        <v>309958</v>
      </c>
      <c r="J65">
        <v>2</v>
      </c>
      <c r="K65" s="7">
        <f>Таблица1[[#This Row],[Штуки]]/SUMIFS(Таблица1[Штуки],Таблица1[Ветка],Таблица1[[#This Row],[Ветка]],Таблица1[Месяц],Таблица1[[#This Row],[Месяц]])</f>
        <v>2.0202020202020204E-2</v>
      </c>
      <c r="L65" s="1">
        <v>579980</v>
      </c>
      <c r="M65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2.0247130332863478E-2</v>
      </c>
      <c r="N65" t="s">
        <v>57</v>
      </c>
      <c r="O65">
        <v>6</v>
      </c>
      <c r="P65">
        <v>4.8</v>
      </c>
      <c r="Q65">
        <v>11</v>
      </c>
      <c r="R65" t="s">
        <v>344</v>
      </c>
      <c r="S65">
        <v>155</v>
      </c>
      <c r="T65">
        <v>89</v>
      </c>
      <c r="U65">
        <v>77</v>
      </c>
      <c r="V65">
        <v>4</v>
      </c>
      <c r="W65">
        <v>0</v>
      </c>
    </row>
    <row r="66" spans="1:23" x14ac:dyDescent="0.3">
      <c r="A66">
        <v>110833716</v>
      </c>
      <c r="B66" t="s">
        <v>346</v>
      </c>
      <c r="C66" t="s">
        <v>108</v>
      </c>
      <c r="D66" t="s">
        <v>62</v>
      </c>
      <c r="E66">
        <v>500</v>
      </c>
      <c r="F66" t="s">
        <v>355</v>
      </c>
      <c r="G66" t="s">
        <v>26</v>
      </c>
      <c r="H66" t="s">
        <v>22</v>
      </c>
      <c r="I66" s="1">
        <v>571500</v>
      </c>
      <c r="J66">
        <v>1</v>
      </c>
      <c r="K66" s="7">
        <f>Таблица1[[#This Row],[Штуки]]/SUMIFS(Таблица1[Штуки],Таблица1[Ветка],Таблица1[[#This Row],[Ветка]],Таблица1[Месяц],Таблица1[[#This Row],[Месяц]])</f>
        <v>1.0101010101010102E-2</v>
      </c>
      <c r="L66" s="1">
        <v>578200</v>
      </c>
      <c r="M66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2.0184990445294086E-2</v>
      </c>
      <c r="N66" t="s">
        <v>23</v>
      </c>
      <c r="O66">
        <v>4</v>
      </c>
      <c r="P66">
        <v>5</v>
      </c>
      <c r="Q66">
        <v>3</v>
      </c>
      <c r="R66" t="s">
        <v>344</v>
      </c>
      <c r="S66">
        <v>69.7</v>
      </c>
      <c r="T66">
        <v>196</v>
      </c>
      <c r="U66">
        <v>69.5</v>
      </c>
      <c r="V66">
        <v>0</v>
      </c>
      <c r="W66">
        <v>-18</v>
      </c>
    </row>
    <row r="67" spans="1:23" x14ac:dyDescent="0.3">
      <c r="A67">
        <v>117946838</v>
      </c>
      <c r="B67" t="s">
        <v>341</v>
      </c>
      <c r="C67" t="s">
        <v>109</v>
      </c>
      <c r="D67" t="s">
        <v>71</v>
      </c>
      <c r="E67">
        <v>800</v>
      </c>
      <c r="F67" t="s">
        <v>358</v>
      </c>
      <c r="G67" t="s">
        <v>31</v>
      </c>
      <c r="H67" t="s">
        <v>22</v>
      </c>
      <c r="I67" s="1">
        <v>574600</v>
      </c>
      <c r="J67">
        <v>1</v>
      </c>
      <c r="K67" s="7">
        <f>Таблица1[[#This Row],[Штуки]]/SUMIFS(Таблица1[Штуки],Таблица1[Ветка],Таблица1[[#This Row],[Ветка]],Таблица1[Месяц],Таблица1[[#This Row],[Месяц]])</f>
        <v>7.6923076923076927E-2</v>
      </c>
      <c r="L67" s="1">
        <v>574600</v>
      </c>
      <c r="M67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0.10365421703634446</v>
      </c>
      <c r="N67" t="s">
        <v>57</v>
      </c>
      <c r="O67">
        <v>2</v>
      </c>
      <c r="P67">
        <v>5</v>
      </c>
      <c r="Q67">
        <v>1</v>
      </c>
      <c r="R67" t="s">
        <v>344</v>
      </c>
      <c r="S67">
        <v>200</v>
      </c>
      <c r="T67">
        <v>85</v>
      </c>
      <c r="U67">
        <v>86</v>
      </c>
      <c r="V67">
        <v>4</v>
      </c>
      <c r="W67">
        <v>0</v>
      </c>
    </row>
    <row r="68" spans="1:23" x14ac:dyDescent="0.3">
      <c r="A68">
        <v>148881342</v>
      </c>
      <c r="B68" t="s">
        <v>341</v>
      </c>
      <c r="C68" t="s">
        <v>110</v>
      </c>
      <c r="D68" t="s">
        <v>84</v>
      </c>
      <c r="E68">
        <v>1250</v>
      </c>
      <c r="F68" t="s">
        <v>362</v>
      </c>
      <c r="G68" t="s">
        <v>31</v>
      </c>
      <c r="H68" t="s">
        <v>22</v>
      </c>
      <c r="I68" s="1">
        <v>556000</v>
      </c>
      <c r="J68">
        <v>1</v>
      </c>
      <c r="K68" s="7">
        <f>Таблица1[[#This Row],[Штуки]]/SUMIFS(Таблица1[Штуки],Таблица1[Ветка],Таблица1[[#This Row],[Ветка]],Таблица1[Месяц],Таблица1[[#This Row],[Месяц]])</f>
        <v>0.1111111111111111</v>
      </c>
      <c r="L68" s="1">
        <v>556000</v>
      </c>
      <c r="M68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9.8166025586021152E-2</v>
      </c>
      <c r="N68" t="s">
        <v>23</v>
      </c>
      <c r="O68">
        <v>1</v>
      </c>
      <c r="P68">
        <v>5</v>
      </c>
      <c r="Q68">
        <v>4</v>
      </c>
      <c r="R68" t="s">
        <v>342</v>
      </c>
      <c r="S68">
        <v>250</v>
      </c>
      <c r="T68">
        <v>84</v>
      </c>
      <c r="U68">
        <v>75</v>
      </c>
      <c r="V68">
        <v>9</v>
      </c>
      <c r="W68">
        <v>-22</v>
      </c>
    </row>
    <row r="69" spans="1:23" x14ac:dyDescent="0.3">
      <c r="A69">
        <v>117503828</v>
      </c>
      <c r="B69" t="s">
        <v>341</v>
      </c>
      <c r="C69" t="s">
        <v>111</v>
      </c>
      <c r="D69" t="s">
        <v>44</v>
      </c>
      <c r="E69">
        <v>1000</v>
      </c>
      <c r="F69" t="s">
        <v>360</v>
      </c>
      <c r="G69" t="s">
        <v>31</v>
      </c>
      <c r="H69" t="s">
        <v>22</v>
      </c>
      <c r="I69" s="1">
        <v>528790</v>
      </c>
      <c r="J69">
        <v>1</v>
      </c>
      <c r="K69" s="7">
        <f>Таблица1[[#This Row],[Штуки]]/SUMIFS(Таблица1[Штуки],Таблица1[Ветка],Таблица1[[#This Row],[Ветка]],Таблица1[Месяц],Таблица1[[#This Row],[Месяц]])</f>
        <v>5.2631578947368418E-2</v>
      </c>
      <c r="L69" s="1">
        <v>541900</v>
      </c>
      <c r="M69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4.6876428664914503E-2</v>
      </c>
      <c r="N69" t="s">
        <v>23</v>
      </c>
      <c r="O69">
        <v>3</v>
      </c>
      <c r="P69">
        <v>4.8</v>
      </c>
      <c r="Q69">
        <v>6</v>
      </c>
      <c r="R69" t="s">
        <v>345</v>
      </c>
      <c r="S69">
        <v>200</v>
      </c>
      <c r="T69">
        <v>85</v>
      </c>
      <c r="U69">
        <v>75</v>
      </c>
      <c r="V69">
        <v>9</v>
      </c>
      <c r="W69">
        <v>-18</v>
      </c>
    </row>
    <row r="70" spans="1:23" x14ac:dyDescent="0.3">
      <c r="A70">
        <v>114858756</v>
      </c>
      <c r="B70" t="s">
        <v>346</v>
      </c>
      <c r="C70" t="s">
        <v>112</v>
      </c>
      <c r="D70" t="s">
        <v>46</v>
      </c>
      <c r="E70">
        <v>90</v>
      </c>
      <c r="F70" t="s">
        <v>350</v>
      </c>
      <c r="G70" t="s">
        <v>26</v>
      </c>
      <c r="H70" t="s">
        <v>22</v>
      </c>
      <c r="I70" s="1">
        <v>339990</v>
      </c>
      <c r="J70">
        <v>2</v>
      </c>
      <c r="K70" s="7">
        <f>Таблица1[[#This Row],[Штуки]]/SUMIFS(Таблица1[Штуки],Таблица1[Ветка],Таблица1[[#This Row],[Ветка]],Таблица1[Месяц],Таблица1[[#This Row],[Месяц]])</f>
        <v>0.66666666666666663</v>
      </c>
      <c r="L70" s="1">
        <v>539021</v>
      </c>
      <c r="M70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0.61652708610225948</v>
      </c>
      <c r="N70" t="s">
        <v>57</v>
      </c>
      <c r="O70">
        <v>2</v>
      </c>
      <c r="P70">
        <v>5</v>
      </c>
      <c r="Q70">
        <v>2</v>
      </c>
      <c r="R70" t="s">
        <v>344</v>
      </c>
      <c r="S70">
        <v>59.5</v>
      </c>
      <c r="T70">
        <v>82</v>
      </c>
      <c r="U70">
        <v>54.5</v>
      </c>
      <c r="V70">
        <v>0</v>
      </c>
      <c r="W70">
        <v>-24</v>
      </c>
    </row>
    <row r="71" spans="1:23" x14ac:dyDescent="0.3">
      <c r="A71">
        <v>117232074</v>
      </c>
      <c r="B71" t="s">
        <v>341</v>
      </c>
      <c r="C71" t="s">
        <v>113</v>
      </c>
      <c r="D71" t="s">
        <v>25</v>
      </c>
      <c r="E71">
        <v>410</v>
      </c>
      <c r="F71" t="s">
        <v>354</v>
      </c>
      <c r="G71" t="s">
        <v>26</v>
      </c>
      <c r="H71" t="s">
        <v>22</v>
      </c>
      <c r="I71" s="1">
        <v>263132</v>
      </c>
      <c r="J71">
        <v>2</v>
      </c>
      <c r="K71" s="7">
        <f>Таблица1[[#This Row],[Штуки]]/SUMIFS(Таблица1[Штуки],Таблица1[Ветка],Таблица1[[#This Row],[Ветка]],Таблица1[Месяц],Таблица1[[#This Row],[Месяц]])</f>
        <v>0.14285714285714285</v>
      </c>
      <c r="L71" s="1">
        <v>526182</v>
      </c>
      <c r="M71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0.15133427208658617</v>
      </c>
      <c r="N71" t="s">
        <v>23</v>
      </c>
      <c r="O71">
        <v>5</v>
      </c>
      <c r="P71">
        <v>5</v>
      </c>
      <c r="Q71">
        <v>54</v>
      </c>
      <c r="R71" t="s">
        <v>344</v>
      </c>
      <c r="S71">
        <v>132</v>
      </c>
      <c r="T71">
        <v>88.5</v>
      </c>
      <c r="U71">
        <v>66.5</v>
      </c>
      <c r="V71">
        <v>5</v>
      </c>
      <c r="W71">
        <v>-25</v>
      </c>
    </row>
    <row r="72" spans="1:23" x14ac:dyDescent="0.3">
      <c r="A72">
        <v>142526767</v>
      </c>
      <c r="B72" t="s">
        <v>341</v>
      </c>
      <c r="C72" t="s">
        <v>114</v>
      </c>
      <c r="D72" t="s">
        <v>115</v>
      </c>
      <c r="E72">
        <v>680</v>
      </c>
      <c r="F72" t="s">
        <v>356</v>
      </c>
      <c r="G72" t="s">
        <v>116</v>
      </c>
      <c r="H72" t="s">
        <v>22</v>
      </c>
      <c r="I72" s="1">
        <v>450000</v>
      </c>
      <c r="J72">
        <v>1</v>
      </c>
      <c r="K72" s="7">
        <f>Таблица1[[#This Row],[Штуки]]/SUMIFS(Таблица1[Штуки],Таблица1[Ветка],Таблица1[[#This Row],[Ветка]],Таблица1[Месяц],Таблица1[[#This Row],[Месяц]])</f>
        <v>2.1276595744680851E-2</v>
      </c>
      <c r="L72" s="1">
        <v>525504</v>
      </c>
      <c r="M72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3.2639128271729385E-2</v>
      </c>
      <c r="N72" t="s">
        <v>96</v>
      </c>
      <c r="O72">
        <v>1</v>
      </c>
      <c r="P72">
        <v>0</v>
      </c>
      <c r="Q72">
        <v>0</v>
      </c>
      <c r="R72" t="s">
        <v>342</v>
      </c>
      <c r="S72">
        <v>200</v>
      </c>
      <c r="T72">
        <v>88</v>
      </c>
      <c r="U72">
        <v>82</v>
      </c>
      <c r="V72">
        <v>6</v>
      </c>
      <c r="W72">
        <v>-20</v>
      </c>
    </row>
    <row r="73" spans="1:23" x14ac:dyDescent="0.3">
      <c r="A73">
        <v>145145986</v>
      </c>
      <c r="B73" t="s">
        <v>343</v>
      </c>
      <c r="C73" t="s">
        <v>117</v>
      </c>
      <c r="D73" t="s">
        <v>30</v>
      </c>
      <c r="E73">
        <v>1380</v>
      </c>
      <c r="F73" t="s">
        <v>363</v>
      </c>
      <c r="G73" t="s">
        <v>26</v>
      </c>
      <c r="H73" t="s">
        <v>22</v>
      </c>
      <c r="I73" s="1">
        <v>529990</v>
      </c>
      <c r="J73">
        <v>1</v>
      </c>
      <c r="K73" s="7">
        <f>Таблица1[[#This Row],[Штуки]]/SUMIFS(Таблица1[Штуки],Таблица1[Ветка],Таблица1[[#This Row],[Ветка]],Таблица1[Месяц],Таблица1[[#This Row],[Месяц]])</f>
        <v>0.33333333333333331</v>
      </c>
      <c r="L73" s="1">
        <v>519990</v>
      </c>
      <c r="M73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0.24182105920590949</v>
      </c>
      <c r="N73" t="s">
        <v>57</v>
      </c>
      <c r="O73">
        <v>1</v>
      </c>
      <c r="P73">
        <v>4.7</v>
      </c>
      <c r="Q73">
        <v>2</v>
      </c>
      <c r="R73" t="s">
        <v>344</v>
      </c>
      <c r="S73">
        <v>260</v>
      </c>
      <c r="T73">
        <v>93.5</v>
      </c>
      <c r="U73">
        <v>100</v>
      </c>
      <c r="V73">
        <v>1</v>
      </c>
      <c r="W73">
        <v>-35</v>
      </c>
    </row>
    <row r="74" spans="1:23" x14ac:dyDescent="0.3">
      <c r="A74">
        <v>114109997</v>
      </c>
      <c r="B74" t="s">
        <v>343</v>
      </c>
      <c r="C74" t="s">
        <v>118</v>
      </c>
      <c r="D74" t="s">
        <v>87</v>
      </c>
      <c r="E74">
        <v>800</v>
      </c>
      <c r="F74" t="s">
        <v>358</v>
      </c>
      <c r="G74" t="s">
        <v>69</v>
      </c>
      <c r="H74" t="s">
        <v>22</v>
      </c>
      <c r="I74" s="1">
        <v>539500</v>
      </c>
      <c r="J74">
        <v>1</v>
      </c>
      <c r="K74" s="7">
        <f>Таблица1[[#This Row],[Штуки]]/SUMIFS(Таблица1[Штуки],Таблица1[Ветка],Таблица1[[#This Row],[Ветка]],Таблица1[Месяц],Таблица1[[#This Row],[Месяц]])</f>
        <v>7.6923076923076927E-2</v>
      </c>
      <c r="L74" s="1">
        <v>501826</v>
      </c>
      <c r="M74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9.0526246290429158E-2</v>
      </c>
      <c r="N74" t="s">
        <v>57</v>
      </c>
      <c r="O74">
        <v>2</v>
      </c>
      <c r="P74">
        <v>4.43</v>
      </c>
      <c r="Q74">
        <v>4</v>
      </c>
      <c r="R74" t="s">
        <v>344</v>
      </c>
      <c r="S74">
        <v>200</v>
      </c>
      <c r="T74">
        <v>84</v>
      </c>
      <c r="U74">
        <v>60</v>
      </c>
      <c r="V74">
        <v>8</v>
      </c>
      <c r="W74">
        <v>-22</v>
      </c>
    </row>
    <row r="75" spans="1:23" x14ac:dyDescent="0.3">
      <c r="A75">
        <v>141583649</v>
      </c>
      <c r="B75" t="s">
        <v>343</v>
      </c>
      <c r="C75" t="s">
        <v>119</v>
      </c>
      <c r="D75" t="s">
        <v>38</v>
      </c>
      <c r="E75">
        <v>560</v>
      </c>
      <c r="F75" t="s">
        <v>355</v>
      </c>
      <c r="G75" t="s">
        <v>31</v>
      </c>
      <c r="H75" t="s">
        <v>22</v>
      </c>
      <c r="I75" s="1">
        <v>258990</v>
      </c>
      <c r="J75">
        <v>2</v>
      </c>
      <c r="K75" s="7">
        <f>Таблица1[[#This Row],[Штуки]]/SUMIFS(Таблица1[Штуки],Таблица1[Ветка],Таблица1[[#This Row],[Ветка]],Таблица1[Месяц],Таблица1[[#This Row],[Месяц]])</f>
        <v>2.0202020202020204E-2</v>
      </c>
      <c r="L75" s="1">
        <v>480545</v>
      </c>
      <c r="M75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1.6775849591030519E-2</v>
      </c>
      <c r="N75" t="s">
        <v>23</v>
      </c>
      <c r="O75">
        <v>1</v>
      </c>
      <c r="P75">
        <v>4.7</v>
      </c>
      <c r="Q75">
        <v>21</v>
      </c>
      <c r="R75" t="s">
        <v>344</v>
      </c>
      <c r="S75">
        <v>160</v>
      </c>
      <c r="T75">
        <v>84</v>
      </c>
      <c r="U75">
        <v>67.400000000000006</v>
      </c>
      <c r="V75">
        <v>2</v>
      </c>
      <c r="W75">
        <v>-24</v>
      </c>
    </row>
    <row r="76" spans="1:23" x14ac:dyDescent="0.3">
      <c r="A76">
        <v>2800214</v>
      </c>
      <c r="B76" t="s">
        <v>343</v>
      </c>
      <c r="C76" t="s">
        <v>120</v>
      </c>
      <c r="D76" t="s">
        <v>87</v>
      </c>
      <c r="E76">
        <v>650</v>
      </c>
      <c r="F76" t="s">
        <v>356</v>
      </c>
      <c r="G76" t="s">
        <v>26</v>
      </c>
      <c r="H76" t="s">
        <v>22</v>
      </c>
      <c r="I76" s="1">
        <v>580000</v>
      </c>
      <c r="J76">
        <v>1</v>
      </c>
      <c r="K76" s="7">
        <f>Таблица1[[#This Row],[Штуки]]/SUMIFS(Таблица1[Штуки],Таблица1[Ветка],Таблица1[[#This Row],[Ветка]],Таблица1[Месяц],Таблица1[[#This Row],[Месяц]])</f>
        <v>2.1276595744680851E-2</v>
      </c>
      <c r="L76" s="1">
        <v>480000</v>
      </c>
      <c r="M76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2.981286835196327E-2</v>
      </c>
      <c r="N76" t="s">
        <v>96</v>
      </c>
      <c r="O76">
        <v>1</v>
      </c>
      <c r="P76">
        <v>0</v>
      </c>
      <c r="Q76">
        <v>0</v>
      </c>
      <c r="R76" t="s">
        <v>344</v>
      </c>
      <c r="S76">
        <v>182</v>
      </c>
      <c r="T76">
        <v>92</v>
      </c>
      <c r="U76">
        <v>62</v>
      </c>
      <c r="V76">
        <v>4</v>
      </c>
      <c r="W76">
        <v>-22</v>
      </c>
    </row>
    <row r="77" spans="1:23" x14ac:dyDescent="0.3">
      <c r="A77">
        <v>132115831</v>
      </c>
      <c r="B77" t="s">
        <v>341</v>
      </c>
      <c r="C77" t="s">
        <v>121</v>
      </c>
      <c r="D77" t="s">
        <v>30</v>
      </c>
      <c r="E77">
        <v>328</v>
      </c>
      <c r="F77" t="s">
        <v>353</v>
      </c>
      <c r="G77" t="s">
        <v>69</v>
      </c>
      <c r="H77" t="s">
        <v>22</v>
      </c>
      <c r="I77" s="1">
        <v>229975</v>
      </c>
      <c r="J77">
        <v>2</v>
      </c>
      <c r="K77" s="7">
        <f>Таблица1[[#This Row],[Штуки]]/SUMIFS(Таблица1[Штуки],Таблица1[Ветка],Таблица1[[#This Row],[Ветка]],Таблица1[Месяц],Таблица1[[#This Row],[Месяц]])</f>
        <v>4.878048780487805E-2</v>
      </c>
      <c r="L77" s="1">
        <v>432062</v>
      </c>
      <c r="M77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5.2251315498116381E-2</v>
      </c>
      <c r="N77" t="s">
        <v>23</v>
      </c>
      <c r="O77">
        <v>4</v>
      </c>
      <c r="P77">
        <v>5</v>
      </c>
      <c r="Q77">
        <v>40</v>
      </c>
      <c r="R77" t="s">
        <v>344</v>
      </c>
      <c r="S77">
        <v>129</v>
      </c>
      <c r="T77">
        <v>84.1</v>
      </c>
      <c r="U77">
        <v>66</v>
      </c>
      <c r="V77">
        <v>4</v>
      </c>
      <c r="W77">
        <v>-18</v>
      </c>
    </row>
    <row r="78" spans="1:23" x14ac:dyDescent="0.3">
      <c r="A78">
        <v>132777674</v>
      </c>
      <c r="B78" t="s">
        <v>341</v>
      </c>
      <c r="C78" t="s">
        <v>122</v>
      </c>
      <c r="D78" t="s">
        <v>30</v>
      </c>
      <c r="E78">
        <v>647</v>
      </c>
      <c r="F78" t="s">
        <v>356</v>
      </c>
      <c r="G78" t="s">
        <v>69</v>
      </c>
      <c r="H78" t="s">
        <v>22</v>
      </c>
      <c r="I78" s="1">
        <v>429990</v>
      </c>
      <c r="J78">
        <v>1</v>
      </c>
      <c r="K78" s="7">
        <f>Таблица1[[#This Row],[Штуки]]/SUMIFS(Таблица1[Штуки],Таблица1[Ветка],Таблица1[[#This Row],[Ветка]],Таблица1[Месяц],Таблица1[[#This Row],[Месяц]])</f>
        <v>2.1276595744680851E-2</v>
      </c>
      <c r="L78" s="1">
        <v>430990</v>
      </c>
      <c r="M78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2.6768850272943019E-2</v>
      </c>
      <c r="N78" t="s">
        <v>23</v>
      </c>
      <c r="O78">
        <v>1</v>
      </c>
      <c r="P78">
        <v>5</v>
      </c>
      <c r="Q78">
        <v>2</v>
      </c>
      <c r="R78" t="s">
        <v>342</v>
      </c>
      <c r="S78">
        <v>182</v>
      </c>
      <c r="T78">
        <v>82.2</v>
      </c>
      <c r="U78">
        <v>82.2</v>
      </c>
      <c r="V78">
        <v>6</v>
      </c>
      <c r="W78">
        <v>-25</v>
      </c>
    </row>
    <row r="79" spans="1:23" x14ac:dyDescent="0.3">
      <c r="A79">
        <v>148807914</v>
      </c>
      <c r="B79" t="s">
        <v>341</v>
      </c>
      <c r="C79" t="s">
        <v>123</v>
      </c>
      <c r="D79" t="s">
        <v>74</v>
      </c>
      <c r="E79">
        <v>330</v>
      </c>
      <c r="F79" t="s">
        <v>353</v>
      </c>
      <c r="G79" t="s">
        <v>26</v>
      </c>
      <c r="H79" t="s">
        <v>22</v>
      </c>
      <c r="I79" s="1">
        <v>214900</v>
      </c>
      <c r="J79">
        <v>2</v>
      </c>
      <c r="K79" s="7">
        <f>Таблица1[[#This Row],[Штуки]]/SUMIFS(Таблица1[Штуки],Таблица1[Ветка],Таблица1[[#This Row],[Ветка]],Таблица1[Месяц],Таблица1[[#This Row],[Месяц]])</f>
        <v>4.878048780487805E-2</v>
      </c>
      <c r="L79" s="1">
        <v>430000</v>
      </c>
      <c r="M79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5.2001948017159676E-2</v>
      </c>
      <c r="N79" t="s">
        <v>96</v>
      </c>
      <c r="O79">
        <v>2</v>
      </c>
      <c r="P79">
        <v>4.5</v>
      </c>
      <c r="Q79">
        <v>1</v>
      </c>
      <c r="R79" t="s">
        <v>342</v>
      </c>
      <c r="S79">
        <v>130</v>
      </c>
      <c r="T79">
        <v>89</v>
      </c>
      <c r="U79">
        <v>73.599999999999994</v>
      </c>
      <c r="V79">
        <v>5</v>
      </c>
      <c r="W79">
        <v>0</v>
      </c>
    </row>
    <row r="80" spans="1:23" x14ac:dyDescent="0.3">
      <c r="A80">
        <v>138886748</v>
      </c>
      <c r="B80" t="s">
        <v>346</v>
      </c>
      <c r="C80" t="s">
        <v>124</v>
      </c>
      <c r="D80" t="s">
        <v>100</v>
      </c>
      <c r="E80">
        <v>600</v>
      </c>
      <c r="F80" t="s">
        <v>356</v>
      </c>
      <c r="G80" t="s">
        <v>101</v>
      </c>
      <c r="H80" t="s">
        <v>22</v>
      </c>
      <c r="I80" s="1">
        <v>425217</v>
      </c>
      <c r="J80">
        <v>1</v>
      </c>
      <c r="K80" s="7">
        <f>Таблица1[[#This Row],[Штуки]]/SUMIFS(Таблица1[Штуки],Таблица1[Ветка],Таблица1[[#This Row],[Ветка]],Таблица1[Месяц],Таблица1[[#This Row],[Месяц]])</f>
        <v>2.1276595744680851E-2</v>
      </c>
      <c r="L80" s="1">
        <v>429999</v>
      </c>
      <c r="M80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2.6707299121824696E-2</v>
      </c>
      <c r="N80" t="s">
        <v>96</v>
      </c>
      <c r="O80">
        <v>6</v>
      </c>
      <c r="P80">
        <v>5</v>
      </c>
      <c r="Q80">
        <v>4</v>
      </c>
      <c r="R80" t="s">
        <v>344</v>
      </c>
      <c r="S80">
        <v>60</v>
      </c>
      <c r="T80">
        <v>196</v>
      </c>
      <c r="U80">
        <v>76</v>
      </c>
      <c r="V80">
        <v>0</v>
      </c>
      <c r="W80">
        <v>-14</v>
      </c>
    </row>
    <row r="81" spans="1:23" x14ac:dyDescent="0.3">
      <c r="A81">
        <v>148880716</v>
      </c>
      <c r="B81" t="s">
        <v>341</v>
      </c>
      <c r="C81" t="s">
        <v>125</v>
      </c>
      <c r="D81" t="s">
        <v>84</v>
      </c>
      <c r="E81">
        <v>725</v>
      </c>
      <c r="F81" t="s">
        <v>357</v>
      </c>
      <c r="G81" t="s">
        <v>31</v>
      </c>
      <c r="H81" t="s">
        <v>22</v>
      </c>
      <c r="I81" s="1">
        <v>420000</v>
      </c>
      <c r="J81">
        <v>1</v>
      </c>
      <c r="K81" s="7">
        <f>Таблица1[[#This Row],[Штуки]]/SUMIFS(Таблица1[Штуки],Таблица1[Ветка],Таблица1[[#This Row],[Ветка]],Таблица1[Месяц],Таблица1[[#This Row],[Месяц]])</f>
        <v>1.8518518518518517E-2</v>
      </c>
      <c r="L81" s="1">
        <v>420000</v>
      </c>
      <c r="M81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1.9074081416081603E-2</v>
      </c>
      <c r="N81" t="s">
        <v>57</v>
      </c>
      <c r="O81">
        <v>1</v>
      </c>
      <c r="P81">
        <v>0</v>
      </c>
      <c r="Q81">
        <v>0</v>
      </c>
      <c r="R81" t="s">
        <v>342</v>
      </c>
      <c r="S81">
        <v>200</v>
      </c>
      <c r="T81">
        <v>85</v>
      </c>
      <c r="U81">
        <v>75</v>
      </c>
      <c r="V81">
        <v>6</v>
      </c>
      <c r="W81">
        <v>-22</v>
      </c>
    </row>
    <row r="82" spans="1:23" x14ac:dyDescent="0.3">
      <c r="A82">
        <v>137868518</v>
      </c>
      <c r="B82" t="s">
        <v>341</v>
      </c>
      <c r="C82" t="s">
        <v>126</v>
      </c>
      <c r="D82" t="s">
        <v>52</v>
      </c>
      <c r="E82">
        <v>265</v>
      </c>
      <c r="F82" t="s">
        <v>352</v>
      </c>
      <c r="G82" t="s">
        <v>21</v>
      </c>
      <c r="H82" t="s">
        <v>22</v>
      </c>
      <c r="I82" s="1">
        <v>205000</v>
      </c>
      <c r="J82">
        <v>2</v>
      </c>
      <c r="K82" s="7">
        <f>Таблица1[[#This Row],[Штуки]]/SUMIFS(Таблица1[Штуки],Таблица1[Ветка],Таблица1[[#This Row],[Ветка]],Таблица1[Месяц],Таблица1[[#This Row],[Месяц]])</f>
        <v>2.4096385542168676E-2</v>
      </c>
      <c r="L82" s="1">
        <v>416114</v>
      </c>
      <c r="M82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3.1503573086057661E-2</v>
      </c>
      <c r="N82" t="s">
        <v>96</v>
      </c>
      <c r="O82">
        <v>4</v>
      </c>
      <c r="P82">
        <v>0</v>
      </c>
      <c r="Q82">
        <v>0</v>
      </c>
      <c r="R82" t="s">
        <v>344</v>
      </c>
      <c r="S82">
        <v>100</v>
      </c>
      <c r="T82">
        <v>90</v>
      </c>
      <c r="U82">
        <v>64</v>
      </c>
      <c r="V82">
        <v>3</v>
      </c>
      <c r="W82">
        <v>-18</v>
      </c>
    </row>
    <row r="83" spans="1:23" x14ac:dyDescent="0.3">
      <c r="A83">
        <v>110555381</v>
      </c>
      <c r="B83" t="s">
        <v>343</v>
      </c>
      <c r="C83" t="s">
        <v>127</v>
      </c>
      <c r="D83" t="s">
        <v>87</v>
      </c>
      <c r="E83">
        <v>700</v>
      </c>
      <c r="F83" t="s">
        <v>357</v>
      </c>
      <c r="G83" t="s">
        <v>88</v>
      </c>
      <c r="H83" t="s">
        <v>22</v>
      </c>
      <c r="I83" s="1">
        <v>467500</v>
      </c>
      <c r="J83">
        <v>1</v>
      </c>
      <c r="K83" s="7">
        <f>Таблица1[[#This Row],[Штуки]]/SUMIFS(Таблица1[Штуки],Таблица1[Ветка],Таблица1[[#This Row],[Ветка]],Таблица1[Месяц],Таблица1[[#This Row],[Месяц]])</f>
        <v>1.8518518518518517E-2</v>
      </c>
      <c r="L83" s="1">
        <v>404920</v>
      </c>
      <c r="M83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1.8389231064285149E-2</v>
      </c>
      <c r="N83" t="s">
        <v>96</v>
      </c>
      <c r="O83">
        <v>2</v>
      </c>
      <c r="P83">
        <v>4.8899999999999997</v>
      </c>
      <c r="Q83">
        <v>2</v>
      </c>
      <c r="R83" t="s">
        <v>344</v>
      </c>
      <c r="S83">
        <v>180</v>
      </c>
      <c r="T83">
        <v>84</v>
      </c>
      <c r="U83">
        <v>60</v>
      </c>
      <c r="V83">
        <v>3</v>
      </c>
      <c r="W83">
        <v>-22</v>
      </c>
    </row>
    <row r="84" spans="1:23" x14ac:dyDescent="0.3">
      <c r="A84">
        <v>142526631</v>
      </c>
      <c r="B84" t="s">
        <v>341</v>
      </c>
      <c r="C84" t="s">
        <v>128</v>
      </c>
      <c r="D84" t="s">
        <v>115</v>
      </c>
      <c r="E84">
        <v>700</v>
      </c>
      <c r="F84" t="s">
        <v>357</v>
      </c>
      <c r="G84" t="s">
        <v>31</v>
      </c>
      <c r="H84" t="s">
        <v>22</v>
      </c>
      <c r="I84" s="1">
        <v>374999</v>
      </c>
      <c r="J84">
        <v>1</v>
      </c>
      <c r="K84" s="7">
        <f>Таблица1[[#This Row],[Штуки]]/SUMIFS(Таблица1[Штуки],Таблица1[Ветка],Таблица1[[#This Row],[Ветка]],Таблица1[Месяц],Таблица1[[#This Row],[Месяц]])</f>
        <v>1.8518518518518517E-2</v>
      </c>
      <c r="L84" s="1">
        <v>395000</v>
      </c>
      <c r="M84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1.7938719427029126E-2</v>
      </c>
      <c r="N84" t="s">
        <v>23</v>
      </c>
      <c r="O84">
        <v>1</v>
      </c>
      <c r="P84">
        <v>5</v>
      </c>
      <c r="Q84">
        <v>2</v>
      </c>
      <c r="R84" t="s">
        <v>342</v>
      </c>
      <c r="S84">
        <v>200</v>
      </c>
      <c r="T84">
        <v>80</v>
      </c>
      <c r="U84">
        <v>76</v>
      </c>
      <c r="V84">
        <v>7</v>
      </c>
      <c r="W84">
        <v>-24</v>
      </c>
    </row>
    <row r="85" spans="1:23" x14ac:dyDescent="0.3">
      <c r="A85">
        <v>121205888</v>
      </c>
      <c r="B85" t="s">
        <v>346</v>
      </c>
      <c r="C85" t="s">
        <v>129</v>
      </c>
      <c r="D85" t="s">
        <v>130</v>
      </c>
      <c r="E85">
        <v>800</v>
      </c>
      <c r="F85" t="s">
        <v>358</v>
      </c>
      <c r="G85" t="s">
        <v>78</v>
      </c>
      <c r="H85" t="s">
        <v>22</v>
      </c>
      <c r="I85" s="1">
        <v>391900</v>
      </c>
      <c r="J85">
        <v>1</v>
      </c>
      <c r="K85" s="7">
        <f>Таблица1[[#This Row],[Штуки]]/SUMIFS(Таблица1[Штуки],Таблица1[Ветка],Таблица1[[#This Row],[Ветка]],Таблица1[Месяц],Таблица1[[#This Row],[Месяц]])</f>
        <v>7.6923076923076927E-2</v>
      </c>
      <c r="L85" s="1">
        <v>391900</v>
      </c>
      <c r="M85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7.0696288995028528E-2</v>
      </c>
      <c r="N85" t="s">
        <v>57</v>
      </c>
      <c r="O85">
        <v>1</v>
      </c>
      <c r="P85">
        <v>5</v>
      </c>
      <c r="Q85">
        <v>2</v>
      </c>
      <c r="R85" t="s">
        <v>342</v>
      </c>
      <c r="S85">
        <v>60</v>
      </c>
      <c r="T85">
        <v>196</v>
      </c>
      <c r="U85">
        <v>76</v>
      </c>
      <c r="V85">
        <v>0</v>
      </c>
      <c r="W85">
        <v>-14</v>
      </c>
    </row>
    <row r="86" spans="1:23" x14ac:dyDescent="0.3">
      <c r="A86">
        <v>100619981</v>
      </c>
      <c r="B86" t="s">
        <v>341</v>
      </c>
      <c r="C86" t="s">
        <v>131</v>
      </c>
      <c r="D86" t="s">
        <v>87</v>
      </c>
      <c r="E86">
        <v>590</v>
      </c>
      <c r="F86" t="s">
        <v>355</v>
      </c>
      <c r="G86" t="s">
        <v>82</v>
      </c>
      <c r="H86" t="s">
        <v>22</v>
      </c>
      <c r="I86" s="1">
        <v>410000</v>
      </c>
      <c r="J86">
        <v>1</v>
      </c>
      <c r="K86" s="7">
        <f>Таблица1[[#This Row],[Штуки]]/SUMIFS(Таблица1[Штуки],Таблица1[Ветка],Таблица1[[#This Row],[Ветка]],Таблица1[Месяц],Таблица1[[#This Row],[Месяц]])</f>
        <v>1.0101010101010102E-2</v>
      </c>
      <c r="L86" s="1">
        <v>390000</v>
      </c>
      <c r="M86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1.3614919186552565E-2</v>
      </c>
      <c r="N86" t="s">
        <v>96</v>
      </c>
      <c r="O86">
        <v>2</v>
      </c>
      <c r="P86">
        <v>4.8499999999999996</v>
      </c>
      <c r="Q86">
        <v>42</v>
      </c>
      <c r="R86" t="s">
        <v>344</v>
      </c>
      <c r="S86">
        <v>181</v>
      </c>
      <c r="T86">
        <v>85</v>
      </c>
      <c r="U86">
        <v>60</v>
      </c>
      <c r="V86">
        <v>8</v>
      </c>
      <c r="W86">
        <v>-25</v>
      </c>
    </row>
    <row r="87" spans="1:23" x14ac:dyDescent="0.3">
      <c r="A87">
        <v>130917146</v>
      </c>
      <c r="B87" t="s">
        <v>341</v>
      </c>
      <c r="C87" t="s">
        <v>132</v>
      </c>
      <c r="D87" t="s">
        <v>133</v>
      </c>
      <c r="E87">
        <v>500</v>
      </c>
      <c r="F87" t="s">
        <v>355</v>
      </c>
      <c r="G87" t="s">
        <v>31</v>
      </c>
      <c r="H87" t="s">
        <v>22</v>
      </c>
      <c r="I87" s="1">
        <v>325000</v>
      </c>
      <c r="J87">
        <v>1</v>
      </c>
      <c r="K87" s="7">
        <f>Таблица1[[#This Row],[Штуки]]/SUMIFS(Таблица1[Штуки],Таблица1[Ветка],Таблица1[[#This Row],[Ветка]],Таблица1[Месяц],Таблица1[[#This Row],[Месяц]])</f>
        <v>1.0101010101010102E-2</v>
      </c>
      <c r="L87" s="1">
        <v>388752</v>
      </c>
      <c r="M87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1.3571351445155597E-2</v>
      </c>
      <c r="N87" t="s">
        <v>96</v>
      </c>
      <c r="O87">
        <v>1</v>
      </c>
      <c r="P87">
        <v>4</v>
      </c>
      <c r="Q87">
        <v>2</v>
      </c>
      <c r="R87" t="s">
        <v>342</v>
      </c>
      <c r="S87">
        <v>150</v>
      </c>
      <c r="T87">
        <v>86</v>
      </c>
      <c r="U87">
        <v>76</v>
      </c>
      <c r="V87">
        <v>5</v>
      </c>
      <c r="W87">
        <v>-18</v>
      </c>
    </row>
    <row r="88" spans="1:23" x14ac:dyDescent="0.3">
      <c r="A88">
        <v>154652597</v>
      </c>
      <c r="B88" t="s">
        <v>341</v>
      </c>
      <c r="C88" t="s">
        <v>134</v>
      </c>
      <c r="D88" t="s">
        <v>135</v>
      </c>
      <c r="E88">
        <v>718</v>
      </c>
      <c r="F88" t="s">
        <v>357</v>
      </c>
      <c r="G88" t="s">
        <v>31</v>
      </c>
      <c r="H88" t="s">
        <v>22</v>
      </c>
      <c r="I88" s="1">
        <v>370000</v>
      </c>
      <c r="J88">
        <v>1</v>
      </c>
      <c r="K88" s="7">
        <f>Таблица1[[#This Row],[Штуки]]/SUMIFS(Таблица1[Штуки],Таблица1[Ветка],Таблица1[[#This Row],[Ветка]],Таблица1[Месяц],Таблица1[[#This Row],[Месяц]])</f>
        <v>1.8518518518518517E-2</v>
      </c>
      <c r="L88" s="1">
        <v>370000</v>
      </c>
      <c r="M88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1.6803357437976649E-2</v>
      </c>
      <c r="N88" t="s">
        <v>96</v>
      </c>
      <c r="O88">
        <v>1</v>
      </c>
      <c r="P88">
        <v>0</v>
      </c>
      <c r="Q88">
        <v>0</v>
      </c>
      <c r="R88" t="s">
        <v>344</v>
      </c>
      <c r="S88">
        <v>200</v>
      </c>
      <c r="T88">
        <v>85</v>
      </c>
      <c r="U88">
        <v>75</v>
      </c>
      <c r="V88">
        <v>6</v>
      </c>
      <c r="W88">
        <v>-20</v>
      </c>
    </row>
    <row r="89" spans="1:23" x14ac:dyDescent="0.3">
      <c r="A89">
        <v>122064634</v>
      </c>
      <c r="B89" t="s">
        <v>341</v>
      </c>
      <c r="C89" t="s">
        <v>136</v>
      </c>
      <c r="D89" t="s">
        <v>35</v>
      </c>
      <c r="E89">
        <v>318</v>
      </c>
      <c r="F89" t="s">
        <v>353</v>
      </c>
      <c r="G89" t="s">
        <v>36</v>
      </c>
      <c r="H89" t="s">
        <v>22</v>
      </c>
      <c r="I89" s="1">
        <v>990000</v>
      </c>
      <c r="J89">
        <v>2</v>
      </c>
      <c r="K89" s="7">
        <f>Таблица1[[#This Row],[Штуки]]/SUMIFS(Таблица1[Штуки],Таблица1[Ветка],Таблица1[[#This Row],[Ветка]],Таблица1[Месяц],Таблица1[[#This Row],[Месяц]])</f>
        <v>4.878048780487805E-2</v>
      </c>
      <c r="L89" s="1">
        <v>364800</v>
      </c>
      <c r="M89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4.4117001480604302E-2</v>
      </c>
      <c r="N89" t="s">
        <v>96</v>
      </c>
      <c r="O89">
        <v>1</v>
      </c>
      <c r="P89">
        <v>4.8</v>
      </c>
      <c r="Q89">
        <v>27</v>
      </c>
      <c r="R89" t="s">
        <v>345</v>
      </c>
      <c r="S89">
        <v>127</v>
      </c>
      <c r="T89">
        <v>83</v>
      </c>
      <c r="U89">
        <v>60</v>
      </c>
      <c r="V89">
        <v>5</v>
      </c>
      <c r="W89">
        <v>-18</v>
      </c>
    </row>
    <row r="90" spans="1:23" x14ac:dyDescent="0.3">
      <c r="A90">
        <v>143852360</v>
      </c>
      <c r="B90" t="s">
        <v>341</v>
      </c>
      <c r="C90" t="s">
        <v>137</v>
      </c>
      <c r="D90" t="s">
        <v>130</v>
      </c>
      <c r="E90">
        <v>105</v>
      </c>
      <c r="F90" t="s">
        <v>351</v>
      </c>
      <c r="G90" t="s">
        <v>26</v>
      </c>
      <c r="H90" t="s">
        <v>22</v>
      </c>
      <c r="I90" s="1">
        <v>90800</v>
      </c>
      <c r="J90">
        <v>4</v>
      </c>
      <c r="K90" s="7">
        <f>Таблица1[[#This Row],[Штуки]]/SUMIFS(Таблица1[Штуки],Таблица1[Ветка],Таблица1[[#This Row],[Ветка]],Таблица1[Месяц],Таблица1[[#This Row],[Месяц]])</f>
        <v>0.16666666666666666</v>
      </c>
      <c r="L90" s="1">
        <v>363200</v>
      </c>
      <c r="M90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0.14195823410523123</v>
      </c>
      <c r="N90" t="s">
        <v>57</v>
      </c>
      <c r="O90">
        <v>2</v>
      </c>
      <c r="P90">
        <v>4.5999999999999996</v>
      </c>
      <c r="Q90">
        <v>5</v>
      </c>
      <c r="R90" t="s">
        <v>344</v>
      </c>
      <c r="S90">
        <v>58</v>
      </c>
      <c r="T90">
        <v>78</v>
      </c>
      <c r="U90">
        <v>63</v>
      </c>
      <c r="V90">
        <v>2</v>
      </c>
      <c r="W90">
        <v>-18</v>
      </c>
    </row>
    <row r="91" spans="1:23" x14ac:dyDescent="0.3">
      <c r="A91">
        <v>146322919</v>
      </c>
      <c r="B91" t="s">
        <v>341</v>
      </c>
      <c r="C91" t="s">
        <v>138</v>
      </c>
      <c r="D91" t="s">
        <v>41</v>
      </c>
      <c r="E91">
        <v>700</v>
      </c>
      <c r="F91" t="s">
        <v>357</v>
      </c>
      <c r="G91" t="s">
        <v>42</v>
      </c>
      <c r="H91" t="s">
        <v>22</v>
      </c>
      <c r="I91" s="1">
        <v>395000</v>
      </c>
      <c r="J91">
        <v>1</v>
      </c>
      <c r="K91" s="7">
        <f>Таблица1[[#This Row],[Штуки]]/SUMIFS(Таблица1[Штуки],Таблица1[Ветка],Таблица1[[#This Row],[Ветка]],Таблица1[Месяц],Таблица1[[#This Row],[Месяц]])</f>
        <v>1.8518518518518517E-2</v>
      </c>
      <c r="L91" s="1">
        <v>360000</v>
      </c>
      <c r="M91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1.634921264235566E-2</v>
      </c>
      <c r="N91" t="s">
        <v>96</v>
      </c>
      <c r="O91">
        <v>1</v>
      </c>
      <c r="P91">
        <v>5</v>
      </c>
      <c r="Q91">
        <v>0</v>
      </c>
      <c r="R91" t="s">
        <v>342</v>
      </c>
      <c r="S91">
        <v>200</v>
      </c>
      <c r="T91">
        <v>88</v>
      </c>
      <c r="U91">
        <v>82</v>
      </c>
      <c r="V91">
        <v>6</v>
      </c>
      <c r="W91">
        <v>-20</v>
      </c>
    </row>
    <row r="92" spans="1:23" x14ac:dyDescent="0.3">
      <c r="A92">
        <v>113187256</v>
      </c>
      <c r="B92" t="s">
        <v>341</v>
      </c>
      <c r="C92" t="s">
        <v>139</v>
      </c>
      <c r="D92" t="s">
        <v>87</v>
      </c>
      <c r="E92">
        <v>500</v>
      </c>
      <c r="F92" t="s">
        <v>355</v>
      </c>
      <c r="G92" t="s">
        <v>140</v>
      </c>
      <c r="H92" t="s">
        <v>22</v>
      </c>
      <c r="I92" s="1">
        <v>395000</v>
      </c>
      <c r="J92">
        <v>1</v>
      </c>
      <c r="K92" s="7">
        <f>Таблица1[[#This Row],[Штуки]]/SUMIFS(Таблица1[Штуки],Таблица1[Ветка],Таблица1[[#This Row],[Ветка]],Таблица1[Месяц],Таблица1[[#This Row],[Месяц]])</f>
        <v>1.0101010101010102E-2</v>
      </c>
      <c r="L92" s="1">
        <v>359285</v>
      </c>
      <c r="M92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1.254265702548856E-2</v>
      </c>
      <c r="N92" t="s">
        <v>96</v>
      </c>
      <c r="O92">
        <v>1</v>
      </c>
      <c r="P92">
        <v>4.3</v>
      </c>
      <c r="Q92">
        <v>4</v>
      </c>
      <c r="R92" t="s">
        <v>344</v>
      </c>
      <c r="S92">
        <v>140</v>
      </c>
      <c r="T92">
        <v>84</v>
      </c>
      <c r="U92">
        <v>60</v>
      </c>
      <c r="V92">
        <v>5</v>
      </c>
      <c r="W92">
        <v>-22</v>
      </c>
    </row>
    <row r="93" spans="1:23" x14ac:dyDescent="0.3">
      <c r="A93">
        <v>100620922</v>
      </c>
      <c r="B93" t="s">
        <v>343</v>
      </c>
      <c r="C93" t="s">
        <v>141</v>
      </c>
      <c r="D93" t="s">
        <v>93</v>
      </c>
      <c r="E93">
        <v>700</v>
      </c>
      <c r="F93" t="s">
        <v>357</v>
      </c>
      <c r="G93" t="s">
        <v>26</v>
      </c>
      <c r="H93" t="s">
        <v>22</v>
      </c>
      <c r="I93" s="1">
        <v>350000</v>
      </c>
      <c r="J93">
        <v>1</v>
      </c>
      <c r="K93" s="7">
        <f>Таблица1[[#This Row],[Штуки]]/SUMIFS(Таблица1[Штуки],Таблица1[Ветка],Таблица1[[#This Row],[Ветка]],Таблица1[Месяц],Таблица1[[#This Row],[Месяц]])</f>
        <v>1.8518518518518517E-2</v>
      </c>
      <c r="L93" s="1">
        <v>350000</v>
      </c>
      <c r="M93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1.5895067846734671E-2</v>
      </c>
      <c r="N93" t="s">
        <v>96</v>
      </c>
      <c r="O93">
        <v>1</v>
      </c>
      <c r="P93">
        <v>5</v>
      </c>
      <c r="Q93">
        <v>18</v>
      </c>
      <c r="R93" t="s">
        <v>344</v>
      </c>
      <c r="S93">
        <v>180</v>
      </c>
      <c r="T93">
        <v>82.7</v>
      </c>
      <c r="U93">
        <v>76</v>
      </c>
      <c r="V93">
        <v>0</v>
      </c>
      <c r="W93">
        <v>-18</v>
      </c>
    </row>
    <row r="94" spans="1:23" x14ac:dyDescent="0.3">
      <c r="A94">
        <v>119264283</v>
      </c>
      <c r="B94" t="s">
        <v>341</v>
      </c>
      <c r="C94" t="s">
        <v>142</v>
      </c>
      <c r="D94" t="s">
        <v>35</v>
      </c>
      <c r="E94">
        <v>105</v>
      </c>
      <c r="F94" t="s">
        <v>351</v>
      </c>
      <c r="G94" t="s">
        <v>26</v>
      </c>
      <c r="H94" t="s">
        <v>22</v>
      </c>
      <c r="I94" s="1">
        <v>86700</v>
      </c>
      <c r="J94">
        <v>4</v>
      </c>
      <c r="K94" s="7">
        <f>Таблица1[[#This Row],[Штуки]]/SUMIFS(Таблица1[Штуки],Таблица1[Ветка],Таблица1[[#This Row],[Ветка]],Таблица1[Месяц],Таблица1[[#This Row],[Месяц]])</f>
        <v>0.16666666666666666</v>
      </c>
      <c r="L94" s="1">
        <v>349246</v>
      </c>
      <c r="M94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0.13650425503390856</v>
      </c>
      <c r="N94" t="s">
        <v>57</v>
      </c>
      <c r="O94">
        <v>1</v>
      </c>
      <c r="P94">
        <v>4.9000000000000004</v>
      </c>
      <c r="Q94">
        <v>13</v>
      </c>
      <c r="R94" t="s">
        <v>344</v>
      </c>
      <c r="S94">
        <v>60</v>
      </c>
      <c r="T94">
        <v>80</v>
      </c>
      <c r="U94">
        <v>55</v>
      </c>
      <c r="V94">
        <v>1</v>
      </c>
      <c r="W94">
        <v>-18</v>
      </c>
    </row>
    <row r="95" spans="1:23" x14ac:dyDescent="0.3">
      <c r="A95">
        <v>141583677</v>
      </c>
      <c r="B95" t="s">
        <v>343</v>
      </c>
      <c r="C95" t="s">
        <v>143</v>
      </c>
      <c r="D95" t="s">
        <v>38</v>
      </c>
      <c r="E95">
        <v>660</v>
      </c>
      <c r="F95" t="s">
        <v>356</v>
      </c>
      <c r="G95" t="s">
        <v>31</v>
      </c>
      <c r="H95" t="s">
        <v>22</v>
      </c>
      <c r="I95" s="1">
        <v>263990</v>
      </c>
      <c r="J95">
        <v>1</v>
      </c>
      <c r="K95" s="7">
        <f>Таблица1[[#This Row],[Штуки]]/SUMIFS(Таблица1[Штуки],Таблица1[Ветка],Таблица1[[#This Row],[Ветка]],Таблица1[Месяц],Таблица1[[#This Row],[Месяц]])</f>
        <v>2.1276595744680851E-2</v>
      </c>
      <c r="L95" s="1">
        <v>346434</v>
      </c>
      <c r="M95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2.1517065072175091E-2</v>
      </c>
      <c r="N95" t="s">
        <v>23</v>
      </c>
      <c r="O95">
        <v>1</v>
      </c>
      <c r="P95">
        <v>4.7</v>
      </c>
      <c r="Q95">
        <v>11</v>
      </c>
      <c r="R95" t="s">
        <v>344</v>
      </c>
      <c r="S95">
        <v>180</v>
      </c>
      <c r="T95">
        <v>84</v>
      </c>
      <c r="U95">
        <v>67.400000000000006</v>
      </c>
      <c r="V95">
        <v>2</v>
      </c>
      <c r="W95">
        <v>-24</v>
      </c>
    </row>
    <row r="96" spans="1:23" x14ac:dyDescent="0.3">
      <c r="A96">
        <v>106253836</v>
      </c>
      <c r="B96" t="s">
        <v>341</v>
      </c>
      <c r="C96" t="s">
        <v>144</v>
      </c>
      <c r="D96" t="s">
        <v>87</v>
      </c>
      <c r="E96">
        <v>500</v>
      </c>
      <c r="F96" t="s">
        <v>355</v>
      </c>
      <c r="G96" t="s">
        <v>82</v>
      </c>
      <c r="H96" t="s">
        <v>22</v>
      </c>
      <c r="I96" s="1">
        <v>400000</v>
      </c>
      <c r="J96">
        <v>1</v>
      </c>
      <c r="K96" s="7">
        <f>Таблица1[[#This Row],[Штуки]]/SUMIFS(Таблица1[Штуки],Таблица1[Ветка],Таблица1[[#This Row],[Ветка]],Таблица1[Месяц],Таблица1[[#This Row],[Месяц]])</f>
        <v>1.0101010101010102E-2</v>
      </c>
      <c r="L96" s="1">
        <v>341000</v>
      </c>
      <c r="M96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1.1904326775934422E-2</v>
      </c>
      <c r="N96" t="s">
        <v>96</v>
      </c>
      <c r="O96">
        <v>1</v>
      </c>
      <c r="P96">
        <v>0</v>
      </c>
      <c r="Q96">
        <v>0</v>
      </c>
      <c r="R96" t="s">
        <v>345</v>
      </c>
      <c r="S96">
        <v>141</v>
      </c>
      <c r="T96">
        <v>85</v>
      </c>
      <c r="U96">
        <v>60</v>
      </c>
      <c r="V96">
        <v>7</v>
      </c>
      <c r="W96">
        <v>0</v>
      </c>
    </row>
    <row r="97" spans="1:23" x14ac:dyDescent="0.3">
      <c r="A97">
        <v>103923411</v>
      </c>
      <c r="B97" t="s">
        <v>346</v>
      </c>
      <c r="C97" t="s">
        <v>145</v>
      </c>
      <c r="D97" t="s">
        <v>146</v>
      </c>
      <c r="E97">
        <v>96</v>
      </c>
      <c r="F97" t="s">
        <v>350</v>
      </c>
      <c r="G97" t="s">
        <v>26</v>
      </c>
      <c r="H97" t="s">
        <v>22</v>
      </c>
      <c r="I97" s="1">
        <v>302770</v>
      </c>
      <c r="J97">
        <v>1</v>
      </c>
      <c r="K97" s="7">
        <f>Таблица1[[#This Row],[Штуки]]/SUMIFS(Таблица1[Штуки],Таблица1[Ветка],Таблица1[[#This Row],[Ветка]],Таблица1[Месяц],Таблица1[[#This Row],[Месяц]])</f>
        <v>0.33333333333333331</v>
      </c>
      <c r="L97" s="1">
        <v>335265</v>
      </c>
      <c r="M97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0.38347291389774057</v>
      </c>
      <c r="N97" t="s">
        <v>96</v>
      </c>
      <c r="O97">
        <v>6</v>
      </c>
      <c r="P97">
        <v>4.9000000000000004</v>
      </c>
      <c r="Q97">
        <v>14</v>
      </c>
      <c r="R97" t="s">
        <v>344</v>
      </c>
      <c r="S97">
        <v>59.5</v>
      </c>
      <c r="T97">
        <v>81.8</v>
      </c>
      <c r="U97">
        <v>54.5</v>
      </c>
      <c r="V97">
        <v>0</v>
      </c>
      <c r="W97">
        <v>-24</v>
      </c>
    </row>
    <row r="98" spans="1:23" x14ac:dyDescent="0.3">
      <c r="A98">
        <v>145169183</v>
      </c>
      <c r="B98" t="s">
        <v>343</v>
      </c>
      <c r="C98" t="s">
        <v>147</v>
      </c>
      <c r="D98" t="s">
        <v>148</v>
      </c>
      <c r="E98">
        <v>700</v>
      </c>
      <c r="F98" t="s">
        <v>357</v>
      </c>
      <c r="G98" t="s">
        <v>26</v>
      </c>
      <c r="H98" t="s">
        <v>22</v>
      </c>
      <c r="I98" s="1">
        <v>309900</v>
      </c>
      <c r="J98">
        <v>1</v>
      </c>
      <c r="K98" s="7">
        <f>Таблица1[[#This Row],[Штуки]]/SUMIFS(Таблица1[Штуки],Таблица1[Ветка],Таблица1[[#This Row],[Ветка]],Таблица1[Месяц],Таблица1[[#This Row],[Месяц]])</f>
        <v>1.8518518518518517E-2</v>
      </c>
      <c r="L98" s="1">
        <v>319990</v>
      </c>
      <c r="M98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1.4532179315076077E-2</v>
      </c>
      <c r="N98" t="s">
        <v>23</v>
      </c>
      <c r="O98">
        <v>5</v>
      </c>
      <c r="P98">
        <v>5</v>
      </c>
      <c r="Q98">
        <v>2</v>
      </c>
      <c r="R98" t="s">
        <v>344</v>
      </c>
      <c r="S98">
        <v>203</v>
      </c>
      <c r="T98">
        <v>91</v>
      </c>
      <c r="U98">
        <v>76</v>
      </c>
      <c r="V98">
        <v>3</v>
      </c>
      <c r="W98">
        <v>-18</v>
      </c>
    </row>
    <row r="99" spans="1:23" x14ac:dyDescent="0.3">
      <c r="A99">
        <v>116988507</v>
      </c>
      <c r="B99" t="s">
        <v>343</v>
      </c>
      <c r="C99" t="s">
        <v>149</v>
      </c>
      <c r="D99" t="s">
        <v>46</v>
      </c>
      <c r="E99">
        <v>516</v>
      </c>
      <c r="F99" t="s">
        <v>355</v>
      </c>
      <c r="G99" t="s">
        <v>26</v>
      </c>
      <c r="H99" t="s">
        <v>22</v>
      </c>
      <c r="I99" s="1">
        <v>350288</v>
      </c>
      <c r="J99">
        <v>1</v>
      </c>
      <c r="K99" s="7">
        <f>Таблица1[[#This Row],[Штуки]]/SUMIFS(Таблица1[Штуки],Таблица1[Ветка],Таблица1[[#This Row],[Ветка]],Таблица1[Месяц],Таблица1[[#This Row],[Месяц]])</f>
        <v>1.0101010101010102E-2</v>
      </c>
      <c r="L99" s="1">
        <v>315000</v>
      </c>
      <c r="M99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1.0996665496830918E-2</v>
      </c>
      <c r="N99" t="s">
        <v>96</v>
      </c>
      <c r="O99">
        <v>2</v>
      </c>
      <c r="P99">
        <v>5</v>
      </c>
      <c r="Q99">
        <v>4</v>
      </c>
      <c r="R99" t="s">
        <v>344</v>
      </c>
      <c r="S99">
        <v>164</v>
      </c>
      <c r="T99">
        <v>84.5</v>
      </c>
      <c r="U99">
        <v>74.5</v>
      </c>
      <c r="V99">
        <v>0</v>
      </c>
      <c r="W99">
        <v>-29</v>
      </c>
    </row>
    <row r="100" spans="1:23" x14ac:dyDescent="0.3">
      <c r="A100">
        <v>114881099</v>
      </c>
      <c r="B100" t="s">
        <v>341</v>
      </c>
      <c r="C100" t="s">
        <v>150</v>
      </c>
      <c r="D100" t="s">
        <v>46</v>
      </c>
      <c r="E100">
        <v>331</v>
      </c>
      <c r="F100" t="s">
        <v>353</v>
      </c>
      <c r="G100" t="s">
        <v>26</v>
      </c>
      <c r="H100" t="s">
        <v>22</v>
      </c>
      <c r="I100" s="1">
        <v>403700</v>
      </c>
      <c r="J100">
        <v>1</v>
      </c>
      <c r="K100" s="7">
        <f>Таблица1[[#This Row],[Штуки]]/SUMIFS(Таблица1[Штуки],Таблица1[Ветка],Таблица1[[#This Row],[Ветка]],Таблица1[Месяц],Таблица1[[#This Row],[Месяц]])</f>
        <v>2.4390243902439025E-2</v>
      </c>
      <c r="L100" s="1">
        <v>312675</v>
      </c>
      <c r="M100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3.781327696805907E-2</v>
      </c>
      <c r="N100" t="s">
        <v>96</v>
      </c>
      <c r="O100">
        <v>1</v>
      </c>
      <c r="P100">
        <v>0</v>
      </c>
      <c r="Q100">
        <v>0</v>
      </c>
      <c r="R100" t="s">
        <v>344</v>
      </c>
      <c r="S100">
        <v>107</v>
      </c>
      <c r="T100">
        <v>85</v>
      </c>
      <c r="U100">
        <v>65</v>
      </c>
      <c r="V100">
        <v>4</v>
      </c>
      <c r="W100">
        <v>-24</v>
      </c>
    </row>
    <row r="101" spans="1:23" x14ac:dyDescent="0.3">
      <c r="A101">
        <v>140081934</v>
      </c>
      <c r="B101" t="s">
        <v>341</v>
      </c>
      <c r="C101" t="s">
        <v>151</v>
      </c>
      <c r="D101" t="s">
        <v>91</v>
      </c>
      <c r="E101">
        <v>445</v>
      </c>
      <c r="F101" t="s">
        <v>354</v>
      </c>
      <c r="G101" t="s">
        <v>26</v>
      </c>
      <c r="H101" t="s">
        <v>22</v>
      </c>
      <c r="I101" s="1">
        <v>285990</v>
      </c>
      <c r="J101">
        <v>1</v>
      </c>
      <c r="K101" s="7">
        <f>Таблица1[[#This Row],[Штуки]]/SUMIFS(Таблица1[Штуки],Таблица1[Ветка],Таблица1[[#This Row],[Ветка]],Таблица1[Месяц],Таблица1[[#This Row],[Месяц]])</f>
        <v>7.1428571428571425E-2</v>
      </c>
      <c r="L101" s="1">
        <v>301000</v>
      </c>
      <c r="M101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8.6570076319719108E-2</v>
      </c>
      <c r="N101" t="s">
        <v>96</v>
      </c>
      <c r="O101">
        <v>4</v>
      </c>
      <c r="P101">
        <v>0</v>
      </c>
      <c r="Q101">
        <v>0</v>
      </c>
      <c r="R101" t="s">
        <v>344</v>
      </c>
      <c r="S101">
        <v>153</v>
      </c>
      <c r="T101">
        <v>85</v>
      </c>
      <c r="U101">
        <v>68</v>
      </c>
      <c r="V101">
        <v>5</v>
      </c>
      <c r="W101">
        <v>-18</v>
      </c>
    </row>
    <row r="102" spans="1:23" x14ac:dyDescent="0.3">
      <c r="A102">
        <v>114860975</v>
      </c>
      <c r="B102" t="s">
        <v>341</v>
      </c>
      <c r="C102" t="s">
        <v>152</v>
      </c>
      <c r="D102" t="s">
        <v>46</v>
      </c>
      <c r="E102">
        <v>513</v>
      </c>
      <c r="F102" t="s">
        <v>355</v>
      </c>
      <c r="G102" t="s">
        <v>26</v>
      </c>
      <c r="H102" t="s">
        <v>22</v>
      </c>
      <c r="I102" s="1">
        <v>491000</v>
      </c>
      <c r="J102">
        <v>1</v>
      </c>
      <c r="K102" s="7">
        <f>Таблица1[[#This Row],[Штуки]]/SUMIFS(Таблица1[Штуки],Таблица1[Ветка],Таблица1[[#This Row],[Ветка]],Таблица1[Месяц],Таблица1[[#This Row],[Месяц]])</f>
        <v>1.0101010101010102E-2</v>
      </c>
      <c r="L102" s="1">
        <v>299990</v>
      </c>
      <c r="M102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1.0472665658394626E-2</v>
      </c>
      <c r="N102" t="s">
        <v>57</v>
      </c>
      <c r="O102">
        <v>1</v>
      </c>
      <c r="P102">
        <v>5</v>
      </c>
      <c r="Q102">
        <v>2</v>
      </c>
      <c r="R102" t="s">
        <v>344</v>
      </c>
      <c r="S102">
        <v>155</v>
      </c>
      <c r="T102">
        <v>84.5</v>
      </c>
      <c r="U102">
        <v>65</v>
      </c>
      <c r="V102">
        <v>4</v>
      </c>
      <c r="W102">
        <v>-24</v>
      </c>
    </row>
    <row r="103" spans="1:23" x14ac:dyDescent="0.3">
      <c r="A103">
        <v>106696255</v>
      </c>
      <c r="B103" t="s">
        <v>341</v>
      </c>
      <c r="C103" t="s">
        <v>153</v>
      </c>
      <c r="D103" t="s">
        <v>71</v>
      </c>
      <c r="E103">
        <v>500</v>
      </c>
      <c r="F103" t="s">
        <v>355</v>
      </c>
      <c r="G103" t="s">
        <v>31</v>
      </c>
      <c r="H103" t="s">
        <v>22</v>
      </c>
      <c r="I103" s="1">
        <v>295000</v>
      </c>
      <c r="J103">
        <v>1</v>
      </c>
      <c r="K103" s="7">
        <f>Таблица1[[#This Row],[Штуки]]/SUMIFS(Таблица1[Штуки],Таблица1[Ветка],Таблица1[[#This Row],[Ветка]],Таблица1[Месяц],Таблица1[[#This Row],[Месяц]])</f>
        <v>1.0101010101010102E-2</v>
      </c>
      <c r="L103" s="1">
        <v>295000</v>
      </c>
      <c r="M103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1.0298464512905146E-2</v>
      </c>
      <c r="N103" t="s">
        <v>96</v>
      </c>
      <c r="O103">
        <v>1</v>
      </c>
      <c r="P103">
        <v>5</v>
      </c>
      <c r="Q103">
        <v>12</v>
      </c>
      <c r="R103" t="s">
        <v>344</v>
      </c>
      <c r="S103">
        <v>147.5</v>
      </c>
      <c r="T103">
        <v>85.8</v>
      </c>
      <c r="U103">
        <v>75.7</v>
      </c>
      <c r="V103">
        <v>5</v>
      </c>
      <c r="W103">
        <v>-20</v>
      </c>
    </row>
    <row r="104" spans="1:23" x14ac:dyDescent="0.3">
      <c r="A104">
        <v>148982330</v>
      </c>
      <c r="B104" t="s">
        <v>341</v>
      </c>
      <c r="C104" t="s">
        <v>154</v>
      </c>
      <c r="D104" t="s">
        <v>46</v>
      </c>
      <c r="E104">
        <v>320</v>
      </c>
      <c r="F104" t="s">
        <v>353</v>
      </c>
      <c r="G104" t="s">
        <v>26</v>
      </c>
      <c r="H104" t="s">
        <v>22</v>
      </c>
      <c r="I104" s="1">
        <v>259990</v>
      </c>
      <c r="J104">
        <v>1</v>
      </c>
      <c r="K104" s="7">
        <f>Таблица1[[#This Row],[Штуки]]/SUMIFS(Таблица1[Штуки],Таблица1[Ветка],Таблица1[[#This Row],[Ветка]],Таблица1[Месяц],Таблица1[[#This Row],[Месяц]])</f>
        <v>2.4390243902439025E-2</v>
      </c>
      <c r="L104" s="1">
        <v>289251</v>
      </c>
      <c r="M104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3.4980501083515005E-2</v>
      </c>
      <c r="N104" t="s">
        <v>96</v>
      </c>
      <c r="O104">
        <v>1</v>
      </c>
      <c r="P104">
        <v>0</v>
      </c>
      <c r="Q104">
        <v>0</v>
      </c>
      <c r="R104" t="s">
        <v>344</v>
      </c>
      <c r="S104">
        <v>107.5</v>
      </c>
      <c r="T104">
        <v>81.8</v>
      </c>
      <c r="U104">
        <v>65</v>
      </c>
      <c r="V104">
        <v>4</v>
      </c>
      <c r="W104">
        <v>-24</v>
      </c>
    </row>
    <row r="105" spans="1:23" x14ac:dyDescent="0.3">
      <c r="A105">
        <v>116214532</v>
      </c>
      <c r="B105" t="s">
        <v>343</v>
      </c>
      <c r="C105" t="s">
        <v>155</v>
      </c>
      <c r="D105" t="s">
        <v>133</v>
      </c>
      <c r="E105">
        <v>501</v>
      </c>
      <c r="F105" t="s">
        <v>355</v>
      </c>
      <c r="G105" t="s">
        <v>26</v>
      </c>
      <c r="H105" t="s">
        <v>22</v>
      </c>
      <c r="I105" s="1">
        <v>288888</v>
      </c>
      <c r="J105">
        <v>1</v>
      </c>
      <c r="K105" s="7">
        <f>Таблица1[[#This Row],[Штуки]]/SUMIFS(Таблица1[Штуки],Таблица1[Ветка],Таблица1[[#This Row],[Ветка]],Таблица1[Месяц],Таблица1[[#This Row],[Месяц]])</f>
        <v>1.0101010101010102E-2</v>
      </c>
      <c r="L105" s="1">
        <v>285948</v>
      </c>
      <c r="M105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9.982458747580341E-3</v>
      </c>
      <c r="N105" t="s">
        <v>96</v>
      </c>
      <c r="O105">
        <v>2</v>
      </c>
      <c r="P105">
        <v>5</v>
      </c>
      <c r="Q105">
        <v>5</v>
      </c>
      <c r="R105" t="s">
        <v>344</v>
      </c>
      <c r="S105">
        <v>153</v>
      </c>
      <c r="T105">
        <v>88</v>
      </c>
      <c r="U105">
        <v>67</v>
      </c>
      <c r="V105">
        <v>1</v>
      </c>
      <c r="W105">
        <v>-24</v>
      </c>
    </row>
    <row r="106" spans="1:23" x14ac:dyDescent="0.3">
      <c r="A106">
        <v>104775274</v>
      </c>
      <c r="B106" t="s">
        <v>343</v>
      </c>
      <c r="C106" t="s">
        <v>156</v>
      </c>
      <c r="D106" t="s">
        <v>157</v>
      </c>
      <c r="E106">
        <v>500</v>
      </c>
      <c r="F106" t="s">
        <v>355</v>
      </c>
      <c r="G106" t="s">
        <v>26</v>
      </c>
      <c r="H106" t="s">
        <v>22</v>
      </c>
      <c r="I106" s="1">
        <v>279345</v>
      </c>
      <c r="J106">
        <v>1</v>
      </c>
      <c r="K106" s="7">
        <f>Таблица1[[#This Row],[Штуки]]/SUMIFS(Таблица1[Штуки],Таблица1[Ветка],Таблица1[[#This Row],[Ветка]],Таблица1[Месяц],Таблица1[[#This Row],[Месяц]])</f>
        <v>1.0101010101010102E-2</v>
      </c>
      <c r="L106" s="1">
        <v>279999</v>
      </c>
      <c r="M106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9.7747788649116193E-3</v>
      </c>
      <c r="N106" t="s">
        <v>57</v>
      </c>
      <c r="O106">
        <v>3</v>
      </c>
      <c r="P106">
        <v>5</v>
      </c>
      <c r="Q106">
        <v>8</v>
      </c>
      <c r="R106" t="s">
        <v>344</v>
      </c>
      <c r="S106">
        <v>153</v>
      </c>
      <c r="T106">
        <v>80</v>
      </c>
      <c r="U106">
        <v>75</v>
      </c>
      <c r="V106">
        <v>0</v>
      </c>
      <c r="W106">
        <v>-24</v>
      </c>
    </row>
    <row r="107" spans="1:23" x14ac:dyDescent="0.3">
      <c r="A107">
        <v>154154972</v>
      </c>
      <c r="B107" t="s">
        <v>341</v>
      </c>
      <c r="C107" t="s">
        <v>158</v>
      </c>
      <c r="D107" t="s">
        <v>52</v>
      </c>
      <c r="E107">
        <v>500</v>
      </c>
      <c r="F107" t="s">
        <v>355</v>
      </c>
      <c r="G107" t="s">
        <v>116</v>
      </c>
      <c r="H107" t="s">
        <v>22</v>
      </c>
      <c r="I107" s="1">
        <v>295000</v>
      </c>
      <c r="J107">
        <v>1</v>
      </c>
      <c r="K107" s="7">
        <f>Таблица1[[#This Row],[Штуки]]/SUMIFS(Таблица1[Штуки],Таблица1[Ветка],Таблица1[[#This Row],[Ветка]],Таблица1[Месяц],Таблица1[[#This Row],[Месяц]])</f>
        <v>1.0101010101010102E-2</v>
      </c>
      <c r="L107" s="1">
        <v>267304</v>
      </c>
      <c r="M107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9.3315957903647353E-3</v>
      </c>
      <c r="N107" t="s">
        <v>96</v>
      </c>
      <c r="O107">
        <v>2</v>
      </c>
      <c r="P107">
        <v>0</v>
      </c>
      <c r="Q107">
        <v>0</v>
      </c>
      <c r="R107" t="s">
        <v>344</v>
      </c>
      <c r="S107">
        <v>147</v>
      </c>
      <c r="T107">
        <v>85</v>
      </c>
      <c r="U107">
        <v>75</v>
      </c>
      <c r="V107">
        <v>5</v>
      </c>
      <c r="W107">
        <v>-18</v>
      </c>
    </row>
    <row r="108" spans="1:23" x14ac:dyDescent="0.3">
      <c r="A108">
        <v>145856193</v>
      </c>
      <c r="B108" t="s">
        <v>343</v>
      </c>
      <c r="C108" t="s">
        <v>159</v>
      </c>
      <c r="D108" t="s">
        <v>160</v>
      </c>
      <c r="E108">
        <v>510</v>
      </c>
      <c r="F108" t="s">
        <v>355</v>
      </c>
      <c r="G108" t="s">
        <v>26</v>
      </c>
      <c r="H108" t="s">
        <v>22</v>
      </c>
      <c r="I108" s="1">
        <v>269990</v>
      </c>
      <c r="J108">
        <v>1</v>
      </c>
      <c r="K108" s="7">
        <f>Таблица1[[#This Row],[Штуки]]/SUMIFS(Таблица1[Штуки],Таблица1[Ветка],Таблица1[[#This Row],[Ветка]],Таблица1[Месяц],Таблица1[[#This Row],[Месяц]])</f>
        <v>1.0101010101010102E-2</v>
      </c>
      <c r="L108" s="1">
        <v>259990</v>
      </c>
      <c r="M108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9.0762636905430804E-3</v>
      </c>
      <c r="N108" t="s">
        <v>96</v>
      </c>
      <c r="O108">
        <v>1</v>
      </c>
      <c r="P108">
        <v>5</v>
      </c>
      <c r="Q108">
        <v>3</v>
      </c>
      <c r="R108" t="s">
        <v>342</v>
      </c>
      <c r="S108">
        <v>153</v>
      </c>
      <c r="T108">
        <v>85</v>
      </c>
      <c r="U108">
        <v>75</v>
      </c>
      <c r="V108">
        <v>0</v>
      </c>
      <c r="W108">
        <v>0</v>
      </c>
    </row>
    <row r="109" spans="1:23" x14ac:dyDescent="0.3">
      <c r="A109">
        <v>103353026</v>
      </c>
      <c r="B109" t="s">
        <v>343</v>
      </c>
      <c r="C109" t="s">
        <v>161</v>
      </c>
      <c r="D109" t="s">
        <v>71</v>
      </c>
      <c r="E109">
        <v>558</v>
      </c>
      <c r="F109" t="s">
        <v>355</v>
      </c>
      <c r="G109" t="s">
        <v>26</v>
      </c>
      <c r="H109" t="s">
        <v>22</v>
      </c>
      <c r="I109" s="1">
        <v>268500</v>
      </c>
      <c r="J109">
        <v>1</v>
      </c>
      <c r="K109" s="7">
        <f>Таблица1[[#This Row],[Штуки]]/SUMIFS(Таблица1[Штуки],Таблица1[Ветка],Таблица1[[#This Row],[Ветка]],Таблица1[Месяц],Таблица1[[#This Row],[Месяц]])</f>
        <v>1.0101010101010102E-2</v>
      </c>
      <c r="L109" s="1">
        <v>255317</v>
      </c>
      <c r="M109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8.9131290306488243E-3</v>
      </c>
      <c r="N109" t="s">
        <v>96</v>
      </c>
      <c r="O109">
        <v>1</v>
      </c>
      <c r="P109">
        <v>4.9000000000000004</v>
      </c>
      <c r="Q109">
        <v>24</v>
      </c>
      <c r="R109" t="s">
        <v>344</v>
      </c>
      <c r="S109">
        <v>157</v>
      </c>
      <c r="T109">
        <v>86</v>
      </c>
      <c r="U109">
        <v>80</v>
      </c>
      <c r="V109">
        <v>1</v>
      </c>
      <c r="W109">
        <v>-18</v>
      </c>
    </row>
    <row r="110" spans="1:23" x14ac:dyDescent="0.3">
      <c r="A110">
        <v>153721974</v>
      </c>
      <c r="B110" t="s">
        <v>343</v>
      </c>
      <c r="C110" t="s">
        <v>162</v>
      </c>
      <c r="D110" t="s">
        <v>104</v>
      </c>
      <c r="E110">
        <v>600</v>
      </c>
      <c r="F110" t="s">
        <v>356</v>
      </c>
      <c r="G110" t="s">
        <v>26</v>
      </c>
      <c r="H110" t="s">
        <v>22</v>
      </c>
      <c r="I110" s="1">
        <v>230990</v>
      </c>
      <c r="J110">
        <v>1</v>
      </c>
      <c r="K110" s="7">
        <f>Таблица1[[#This Row],[Штуки]]/SUMIFS(Таблица1[Штуки],Таблица1[Ветка],Таблица1[[#This Row],[Ветка]],Таблица1[Месяц],Таблица1[[#This Row],[Месяц]])</f>
        <v>2.1276595744680851E-2</v>
      </c>
      <c r="L110" s="1">
        <v>251182</v>
      </c>
      <c r="M110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1.5600949788297579E-2</v>
      </c>
      <c r="N110" t="s">
        <v>57</v>
      </c>
      <c r="O110">
        <v>4</v>
      </c>
      <c r="P110">
        <v>5</v>
      </c>
      <c r="Q110">
        <v>1</v>
      </c>
      <c r="R110" t="s">
        <v>342</v>
      </c>
      <c r="S110">
        <v>168.5</v>
      </c>
      <c r="T110">
        <v>82.5</v>
      </c>
      <c r="U110">
        <v>71</v>
      </c>
      <c r="V110">
        <v>0</v>
      </c>
      <c r="W110">
        <v>-18</v>
      </c>
    </row>
    <row r="111" spans="1:23" x14ac:dyDescent="0.3">
      <c r="A111">
        <v>117689613</v>
      </c>
      <c r="B111" t="s">
        <v>341</v>
      </c>
      <c r="C111" t="s">
        <v>163</v>
      </c>
      <c r="D111" t="s">
        <v>25</v>
      </c>
      <c r="E111">
        <v>320</v>
      </c>
      <c r="F111" t="s">
        <v>353</v>
      </c>
      <c r="G111" t="s">
        <v>26</v>
      </c>
      <c r="H111" t="s">
        <v>22</v>
      </c>
      <c r="I111" s="1">
        <v>236266</v>
      </c>
      <c r="J111">
        <v>1</v>
      </c>
      <c r="K111" s="7">
        <f>Таблица1[[#This Row],[Штуки]]/SUMIFS(Таблица1[Штуки],Таблица1[Ветка],Таблица1[[#This Row],[Ветка]],Таблица1[Месяц],Таблица1[[#This Row],[Месяц]])</f>
        <v>2.4390243902439025E-2</v>
      </c>
      <c r="L111" s="1">
        <v>250600</v>
      </c>
      <c r="M111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3.0306251565349336E-2</v>
      </c>
      <c r="N111" t="s">
        <v>57</v>
      </c>
      <c r="O111">
        <v>7</v>
      </c>
      <c r="P111">
        <v>4.8</v>
      </c>
      <c r="Q111">
        <v>15</v>
      </c>
      <c r="R111" t="s">
        <v>344</v>
      </c>
      <c r="S111">
        <v>108.5</v>
      </c>
      <c r="T111">
        <v>88.5</v>
      </c>
      <c r="U111">
        <v>66.5</v>
      </c>
      <c r="V111">
        <v>4</v>
      </c>
      <c r="W111">
        <v>-25</v>
      </c>
    </row>
    <row r="112" spans="1:23" x14ac:dyDescent="0.3">
      <c r="A112">
        <v>116138932</v>
      </c>
      <c r="B112" t="s">
        <v>341</v>
      </c>
      <c r="C112" t="s">
        <v>164</v>
      </c>
      <c r="D112" t="s">
        <v>165</v>
      </c>
      <c r="E112">
        <v>338</v>
      </c>
      <c r="F112" t="s">
        <v>353</v>
      </c>
      <c r="G112" t="s">
        <v>78</v>
      </c>
      <c r="H112" t="s">
        <v>22</v>
      </c>
      <c r="I112" s="1">
        <v>199000</v>
      </c>
      <c r="J112">
        <v>1</v>
      </c>
      <c r="K112" s="7">
        <f>Таблица1[[#This Row],[Штуки]]/SUMIFS(Таблица1[Штуки],Таблица1[Ветка],Таблица1[[#This Row],[Ветка]],Таблица1[Месяц],Таблица1[[#This Row],[Месяц]])</f>
        <v>2.4390243902439025E-2</v>
      </c>
      <c r="L112" s="1">
        <v>238301</v>
      </c>
      <c r="M112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2.8818874917295741E-2</v>
      </c>
      <c r="N112" t="s">
        <v>23</v>
      </c>
      <c r="O112">
        <v>2</v>
      </c>
      <c r="P112">
        <v>5</v>
      </c>
      <c r="Q112">
        <v>81</v>
      </c>
      <c r="R112" t="s">
        <v>344</v>
      </c>
      <c r="S112">
        <v>130</v>
      </c>
      <c r="T112">
        <v>85</v>
      </c>
      <c r="U112">
        <v>65</v>
      </c>
      <c r="V112">
        <v>5</v>
      </c>
      <c r="W112">
        <v>-24</v>
      </c>
    </row>
    <row r="113" spans="1:23" x14ac:dyDescent="0.3">
      <c r="A113">
        <v>140308862</v>
      </c>
      <c r="B113" t="s">
        <v>341</v>
      </c>
      <c r="C113" t="s">
        <v>166</v>
      </c>
      <c r="D113" t="s">
        <v>91</v>
      </c>
      <c r="E113">
        <v>420</v>
      </c>
      <c r="F113" t="s">
        <v>354</v>
      </c>
      <c r="G113" t="s">
        <v>26</v>
      </c>
      <c r="H113" t="s">
        <v>22</v>
      </c>
      <c r="I113" s="1">
        <v>236980</v>
      </c>
      <c r="J113">
        <v>1</v>
      </c>
      <c r="K113" s="7">
        <f>Таблица1[[#This Row],[Штуки]]/SUMIFS(Таблица1[Штуки],Таблица1[Ветка],Таблица1[[#This Row],[Ветка]],Таблица1[Месяц],Таблица1[[#This Row],[Месяц]])</f>
        <v>7.1428571428571425E-2</v>
      </c>
      <c r="L113" s="1">
        <v>224911</v>
      </c>
      <c r="M113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6.4686253937356622E-2</v>
      </c>
      <c r="N113" t="s">
        <v>57</v>
      </c>
      <c r="O113">
        <v>5</v>
      </c>
      <c r="P113">
        <v>5</v>
      </c>
      <c r="Q113">
        <v>8</v>
      </c>
      <c r="R113" t="s">
        <v>342</v>
      </c>
      <c r="S113">
        <v>131</v>
      </c>
      <c r="T113">
        <v>83</v>
      </c>
      <c r="U113">
        <v>69</v>
      </c>
      <c r="V113">
        <v>6</v>
      </c>
      <c r="W113">
        <v>-18</v>
      </c>
    </row>
    <row r="114" spans="1:23" x14ac:dyDescent="0.3">
      <c r="A114">
        <v>123748471</v>
      </c>
      <c r="B114" t="s">
        <v>341</v>
      </c>
      <c r="C114" t="s">
        <v>167</v>
      </c>
      <c r="D114" t="s">
        <v>35</v>
      </c>
      <c r="E114">
        <v>112</v>
      </c>
      <c r="F114" t="s">
        <v>351</v>
      </c>
      <c r="G114" t="s">
        <v>78</v>
      </c>
      <c r="H114" t="s">
        <v>22</v>
      </c>
      <c r="I114" s="1">
        <v>99300</v>
      </c>
      <c r="J114">
        <v>2</v>
      </c>
      <c r="K114" s="7">
        <f>Таблица1[[#This Row],[Штуки]]/SUMIFS(Таблица1[Штуки],Таблица1[Ветка],Таблица1[[#This Row],[Ветка]],Таблица1[Месяц],Таблица1[[#This Row],[Месяц]])</f>
        <v>8.3333333333333329E-2</v>
      </c>
      <c r="L114" s="1">
        <v>220000</v>
      </c>
      <c r="M114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8.5987917134225961E-2</v>
      </c>
      <c r="N114" t="s">
        <v>96</v>
      </c>
      <c r="O114">
        <v>1</v>
      </c>
      <c r="P114">
        <v>0</v>
      </c>
      <c r="Q114">
        <v>0</v>
      </c>
      <c r="R114" t="s">
        <v>344</v>
      </c>
      <c r="S114">
        <v>66</v>
      </c>
      <c r="T114">
        <v>82</v>
      </c>
      <c r="U114">
        <v>48</v>
      </c>
      <c r="V114">
        <v>2</v>
      </c>
      <c r="W114">
        <v>-18</v>
      </c>
    </row>
    <row r="115" spans="1:23" x14ac:dyDescent="0.3">
      <c r="A115">
        <v>121279939</v>
      </c>
      <c r="B115" t="s">
        <v>341</v>
      </c>
      <c r="C115" t="s">
        <v>168</v>
      </c>
      <c r="D115" t="s">
        <v>35</v>
      </c>
      <c r="E115">
        <v>122</v>
      </c>
      <c r="F115" t="s">
        <v>351</v>
      </c>
      <c r="G115" t="s">
        <v>26</v>
      </c>
      <c r="H115" t="s">
        <v>22</v>
      </c>
      <c r="I115" s="1">
        <v>99300</v>
      </c>
      <c r="J115">
        <v>2</v>
      </c>
      <c r="K115" s="7">
        <f>Таблица1[[#This Row],[Штуки]]/SUMIFS(Таблица1[Штуки],Таблица1[Ветка],Таблица1[[#This Row],[Ветка]],Таблица1[Месяц],Таблица1[[#This Row],[Месяц]])</f>
        <v>8.3333333333333329E-2</v>
      </c>
      <c r="L115" s="1">
        <v>220000</v>
      </c>
      <c r="M115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8.5987917134225961E-2</v>
      </c>
      <c r="N115" t="s">
        <v>96</v>
      </c>
      <c r="O115">
        <v>2</v>
      </c>
      <c r="P115">
        <v>5</v>
      </c>
      <c r="Q115">
        <v>1</v>
      </c>
      <c r="R115" t="s">
        <v>344</v>
      </c>
      <c r="S115">
        <v>66</v>
      </c>
      <c r="T115">
        <v>81</v>
      </c>
      <c r="U115">
        <v>48</v>
      </c>
      <c r="V115">
        <v>2</v>
      </c>
      <c r="W115">
        <v>-18</v>
      </c>
    </row>
    <row r="116" spans="1:23" x14ac:dyDescent="0.3">
      <c r="A116">
        <v>154507359</v>
      </c>
      <c r="B116" t="s">
        <v>343</v>
      </c>
      <c r="C116" t="s">
        <v>169</v>
      </c>
      <c r="D116" t="s">
        <v>133</v>
      </c>
      <c r="E116">
        <v>501</v>
      </c>
      <c r="F116" t="s">
        <v>355</v>
      </c>
      <c r="G116" t="s">
        <v>26</v>
      </c>
      <c r="H116" t="s">
        <v>22</v>
      </c>
      <c r="I116" s="1">
        <v>214700</v>
      </c>
      <c r="J116">
        <v>1</v>
      </c>
      <c r="K116" s="7">
        <f>Таблица1[[#This Row],[Штуки]]/SUMIFS(Таблица1[Штуки],Таблица1[Ветка],Таблица1[[#This Row],[Ветка]],Таблица1[Месяц],Таблица1[[#This Row],[Месяц]])</f>
        <v>1.0101010101010102E-2</v>
      </c>
      <c r="L116" s="1">
        <v>214700</v>
      </c>
      <c r="M116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7.4951875624431688E-3</v>
      </c>
      <c r="N116" t="s">
        <v>96</v>
      </c>
      <c r="O116">
        <v>1</v>
      </c>
      <c r="P116">
        <v>0</v>
      </c>
      <c r="Q116">
        <v>0</v>
      </c>
      <c r="R116" t="s">
        <v>344</v>
      </c>
      <c r="S116">
        <v>153</v>
      </c>
      <c r="T116">
        <v>88</v>
      </c>
      <c r="U116">
        <v>67</v>
      </c>
      <c r="V116">
        <v>1</v>
      </c>
      <c r="W116">
        <v>-24</v>
      </c>
    </row>
    <row r="117" spans="1:23" x14ac:dyDescent="0.3">
      <c r="A117">
        <v>153336154</v>
      </c>
      <c r="B117" t="s">
        <v>343</v>
      </c>
      <c r="C117" t="s">
        <v>170</v>
      </c>
      <c r="D117" t="s">
        <v>104</v>
      </c>
      <c r="E117">
        <v>550</v>
      </c>
      <c r="F117" t="s">
        <v>355</v>
      </c>
      <c r="G117" t="s">
        <v>26</v>
      </c>
      <c r="H117" t="s">
        <v>22</v>
      </c>
      <c r="I117" s="1">
        <v>249990</v>
      </c>
      <c r="J117">
        <v>1</v>
      </c>
      <c r="K117" s="7">
        <f>Таблица1[[#This Row],[Штуки]]/SUMIFS(Таблица1[Штуки],Таблица1[Ветка],Таблица1[[#This Row],[Ветка]],Таблица1[Месяц],Таблица1[[#This Row],[Месяц]])</f>
        <v>1.0101010101010102E-2</v>
      </c>
      <c r="L117" s="1">
        <v>209990</v>
      </c>
      <c r="M117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7.3307612307286496E-3</v>
      </c>
      <c r="N117" t="s">
        <v>57</v>
      </c>
      <c r="O117">
        <v>1</v>
      </c>
      <c r="P117">
        <v>5</v>
      </c>
      <c r="Q117">
        <v>2</v>
      </c>
      <c r="R117" t="s">
        <v>342</v>
      </c>
      <c r="S117">
        <v>153.5</v>
      </c>
      <c r="T117">
        <v>82.5</v>
      </c>
      <c r="U117">
        <v>74</v>
      </c>
      <c r="V117">
        <v>0</v>
      </c>
      <c r="W117">
        <v>-18</v>
      </c>
    </row>
    <row r="118" spans="1:23" x14ac:dyDescent="0.3">
      <c r="A118">
        <v>121279875</v>
      </c>
      <c r="B118" t="s">
        <v>341</v>
      </c>
      <c r="C118" t="s">
        <v>171</v>
      </c>
      <c r="D118" t="s">
        <v>52</v>
      </c>
      <c r="E118">
        <v>303</v>
      </c>
      <c r="F118" t="s">
        <v>353</v>
      </c>
      <c r="G118" t="s">
        <v>31</v>
      </c>
      <c r="H118" t="s">
        <v>22</v>
      </c>
      <c r="I118" s="1">
        <v>192600</v>
      </c>
      <c r="J118">
        <v>1</v>
      </c>
      <c r="K118" s="7">
        <f>Таблица1[[#This Row],[Штуки]]/SUMIFS(Таблица1[Штуки],Таблица1[Ветка],Таблица1[[#This Row],[Ветка]],Таблица1[Месяц],Таблица1[[#This Row],[Месяц]])</f>
        <v>2.4390243902439025E-2</v>
      </c>
      <c r="L118" s="1">
        <v>192600</v>
      </c>
      <c r="M118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2.3292035321174312E-2</v>
      </c>
      <c r="N118" t="s">
        <v>96</v>
      </c>
      <c r="O118">
        <v>1</v>
      </c>
      <c r="P118">
        <v>5</v>
      </c>
      <c r="Q118">
        <v>0</v>
      </c>
      <c r="R118" t="s">
        <v>345</v>
      </c>
      <c r="S118">
        <v>121</v>
      </c>
      <c r="T118">
        <v>80</v>
      </c>
      <c r="U118">
        <v>60</v>
      </c>
      <c r="V118">
        <v>1</v>
      </c>
      <c r="W118">
        <v>-18</v>
      </c>
    </row>
    <row r="119" spans="1:23" x14ac:dyDescent="0.3">
      <c r="A119">
        <v>117729101</v>
      </c>
      <c r="B119" t="s">
        <v>341</v>
      </c>
      <c r="C119" t="s">
        <v>172</v>
      </c>
      <c r="D119" t="s">
        <v>93</v>
      </c>
      <c r="E119">
        <v>380</v>
      </c>
      <c r="F119" t="s">
        <v>353</v>
      </c>
      <c r="G119" t="s">
        <v>31</v>
      </c>
      <c r="H119" t="s">
        <v>22</v>
      </c>
      <c r="I119" s="1">
        <v>189990</v>
      </c>
      <c r="J119">
        <v>1</v>
      </c>
      <c r="K119" s="7">
        <f>Таблица1[[#This Row],[Штуки]]/SUMIFS(Таблица1[Штуки],Таблица1[Ветка],Таблица1[[#This Row],[Ветка]],Таблица1[Месяц],Таблица1[[#This Row],[Месяц]])</f>
        <v>2.4390243902439025E-2</v>
      </c>
      <c r="L119" s="1">
        <v>174602</v>
      </c>
      <c r="M119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2.11154514597491E-2</v>
      </c>
      <c r="N119" t="s">
        <v>96</v>
      </c>
      <c r="O119">
        <v>1</v>
      </c>
      <c r="P119">
        <v>4.8</v>
      </c>
      <c r="Q119">
        <v>16</v>
      </c>
      <c r="R119" t="s">
        <v>342</v>
      </c>
      <c r="S119">
        <v>122</v>
      </c>
      <c r="T119">
        <v>90</v>
      </c>
      <c r="U119">
        <v>70</v>
      </c>
      <c r="V119">
        <v>4</v>
      </c>
      <c r="W119">
        <v>-18</v>
      </c>
    </row>
    <row r="120" spans="1:23" x14ac:dyDescent="0.3">
      <c r="A120">
        <v>121428413</v>
      </c>
      <c r="B120" t="s">
        <v>341</v>
      </c>
      <c r="C120" t="s">
        <v>173</v>
      </c>
      <c r="D120" t="s">
        <v>35</v>
      </c>
      <c r="E120">
        <v>300</v>
      </c>
      <c r="F120" t="s">
        <v>353</v>
      </c>
      <c r="G120" t="s">
        <v>26</v>
      </c>
      <c r="H120" t="s">
        <v>22</v>
      </c>
      <c r="I120" s="1">
        <v>179900</v>
      </c>
      <c r="J120">
        <v>1</v>
      </c>
      <c r="K120" s="7">
        <f>Таблица1[[#This Row],[Штуки]]/SUMIFS(Таблица1[Штуки],Таблица1[Ветка],Таблица1[[#This Row],[Ветка]],Таблица1[Месяц],Таблица1[[#This Row],[Месяц]])</f>
        <v>2.4390243902439025E-2</v>
      </c>
      <c r="L120" s="1">
        <v>168700</v>
      </c>
      <c r="M120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2.0401694489522879E-2</v>
      </c>
      <c r="N120" t="s">
        <v>96</v>
      </c>
      <c r="O120">
        <v>2</v>
      </c>
      <c r="P120">
        <v>4.8</v>
      </c>
      <c r="Q120">
        <v>62</v>
      </c>
      <c r="R120" t="s">
        <v>344</v>
      </c>
      <c r="S120">
        <v>130</v>
      </c>
      <c r="T120">
        <v>85</v>
      </c>
      <c r="U120">
        <v>60</v>
      </c>
      <c r="V120">
        <v>5</v>
      </c>
      <c r="W120">
        <v>-15</v>
      </c>
    </row>
    <row r="121" spans="1:23" x14ac:dyDescent="0.3">
      <c r="A121">
        <v>148807910</v>
      </c>
      <c r="B121" t="s">
        <v>341</v>
      </c>
      <c r="C121" t="s">
        <v>174</v>
      </c>
      <c r="D121" t="s">
        <v>74</v>
      </c>
      <c r="E121">
        <v>280</v>
      </c>
      <c r="F121" t="s">
        <v>352</v>
      </c>
      <c r="G121" t="s">
        <v>26</v>
      </c>
      <c r="H121" t="s">
        <v>22</v>
      </c>
      <c r="I121" s="1">
        <v>185990</v>
      </c>
      <c r="J121">
        <v>1</v>
      </c>
      <c r="K121" s="7">
        <f>Таблица1[[#This Row],[Штуки]]/SUMIFS(Таблица1[Штуки],Таблица1[Ветка],Таблица1[[#This Row],[Ветка]],Таблица1[Месяц],Таблица1[[#This Row],[Месяц]])</f>
        <v>1.2048192771084338E-2</v>
      </c>
      <c r="L121" s="1">
        <v>167990</v>
      </c>
      <c r="M121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1.2718354207565298E-2</v>
      </c>
      <c r="N121" t="s">
        <v>57</v>
      </c>
      <c r="O121">
        <v>2</v>
      </c>
      <c r="P121">
        <v>5</v>
      </c>
      <c r="Q121">
        <v>1</v>
      </c>
      <c r="R121" t="s">
        <v>342</v>
      </c>
      <c r="S121">
        <v>106.5</v>
      </c>
      <c r="T121">
        <v>89.6</v>
      </c>
      <c r="U121">
        <v>73.599999999999994</v>
      </c>
      <c r="V121">
        <v>3</v>
      </c>
      <c r="W121">
        <v>0</v>
      </c>
    </row>
    <row r="122" spans="1:23" x14ac:dyDescent="0.3">
      <c r="A122">
        <v>120039135</v>
      </c>
      <c r="B122" t="s">
        <v>341</v>
      </c>
      <c r="C122" t="s">
        <v>175</v>
      </c>
      <c r="D122" t="s">
        <v>93</v>
      </c>
      <c r="E122">
        <v>280</v>
      </c>
      <c r="F122" t="s">
        <v>352</v>
      </c>
      <c r="G122" t="s">
        <v>176</v>
      </c>
      <c r="H122" t="s">
        <v>22</v>
      </c>
      <c r="I122" s="1">
        <v>179990</v>
      </c>
      <c r="J122">
        <v>1</v>
      </c>
      <c r="K122" s="7">
        <f>Таблица1[[#This Row],[Штуки]]/SUMIFS(Таблица1[Штуки],Таблица1[Ветка],Таблица1[[#This Row],[Ветка]],Таблица1[Месяц],Таблица1[[#This Row],[Месяц]])</f>
        <v>1.2048192771084338E-2</v>
      </c>
      <c r="L122" s="1">
        <v>149990</v>
      </c>
      <c r="M122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1.1355592282830639E-2</v>
      </c>
      <c r="N122" t="s">
        <v>23</v>
      </c>
      <c r="O122">
        <v>1</v>
      </c>
      <c r="P122">
        <v>4.9000000000000004</v>
      </c>
      <c r="Q122">
        <v>17</v>
      </c>
      <c r="R122" t="s">
        <v>342</v>
      </c>
      <c r="S122">
        <v>69</v>
      </c>
      <c r="T122">
        <v>90</v>
      </c>
      <c r="U122">
        <v>102</v>
      </c>
      <c r="V122">
        <v>4</v>
      </c>
      <c r="W122">
        <v>-24</v>
      </c>
    </row>
    <row r="123" spans="1:23" x14ac:dyDescent="0.3">
      <c r="A123">
        <v>137444919</v>
      </c>
      <c r="B123" t="s">
        <v>341</v>
      </c>
      <c r="C123" t="s">
        <v>28</v>
      </c>
      <c r="D123" t="s">
        <v>20</v>
      </c>
      <c r="E123">
        <v>700</v>
      </c>
      <c r="F123" t="s">
        <v>357</v>
      </c>
      <c r="G123" t="s">
        <v>177</v>
      </c>
      <c r="H123" t="s">
        <v>178</v>
      </c>
      <c r="I123" s="1">
        <v>389340</v>
      </c>
      <c r="J123">
        <v>54</v>
      </c>
      <c r="K123" s="7">
        <f>Таблица1[[#This Row],[Штуки]]/SUMIFS(Таблица1[Штуки],Таблица1[Ветка],Таблица1[[#This Row],[Ветка]],Таблица1[Месяц],Таблица1[[#This Row],[Месяц]])</f>
        <v>0.46551724137931033</v>
      </c>
      <c r="L123" s="1">
        <v>20562952</v>
      </c>
      <c r="M123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0.45641304102706248</v>
      </c>
      <c r="N123" t="s">
        <v>23</v>
      </c>
      <c r="O123">
        <v>3</v>
      </c>
      <c r="P123">
        <v>4.9000000000000004</v>
      </c>
      <c r="Q123">
        <v>46</v>
      </c>
      <c r="R123" t="s">
        <v>342</v>
      </c>
      <c r="S123">
        <v>200</v>
      </c>
      <c r="T123">
        <v>85</v>
      </c>
      <c r="U123">
        <v>76</v>
      </c>
      <c r="V123">
        <v>7</v>
      </c>
      <c r="W123">
        <v>-24</v>
      </c>
    </row>
    <row r="124" spans="1:23" x14ac:dyDescent="0.3">
      <c r="A124">
        <v>137444929</v>
      </c>
      <c r="B124" t="s">
        <v>341</v>
      </c>
      <c r="C124" t="s">
        <v>19</v>
      </c>
      <c r="D124" t="s">
        <v>20</v>
      </c>
      <c r="E124">
        <v>1000</v>
      </c>
      <c r="F124" t="s">
        <v>360</v>
      </c>
      <c r="G124" t="s">
        <v>177</v>
      </c>
      <c r="H124" t="s">
        <v>178</v>
      </c>
      <c r="I124" s="1">
        <v>700000</v>
      </c>
      <c r="J124">
        <v>38</v>
      </c>
      <c r="K124" s="7">
        <f>Таблица1[[#This Row],[Штуки]]/SUMIFS(Таблица1[Штуки],Таблица1[Ветка],Таблица1[[#This Row],[Ветка]],Таблица1[Месяц],Таблица1[[#This Row],[Месяц]])</f>
        <v>0.84444444444444444</v>
      </c>
      <c r="L124" s="1">
        <v>19406571</v>
      </c>
      <c r="M124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0.7295598886346778</v>
      </c>
      <c r="N124" t="s">
        <v>23</v>
      </c>
      <c r="O124">
        <v>1</v>
      </c>
      <c r="P124">
        <v>4.9000000000000004</v>
      </c>
      <c r="Q124">
        <v>39</v>
      </c>
      <c r="R124" t="s">
        <v>342</v>
      </c>
      <c r="S124">
        <v>250</v>
      </c>
      <c r="T124">
        <v>85</v>
      </c>
      <c r="U124">
        <v>76</v>
      </c>
      <c r="V124">
        <v>9</v>
      </c>
      <c r="W124">
        <v>-18</v>
      </c>
    </row>
    <row r="125" spans="1:23" x14ac:dyDescent="0.3">
      <c r="A125">
        <v>100018121</v>
      </c>
      <c r="B125" t="s">
        <v>343</v>
      </c>
      <c r="C125" t="s">
        <v>24</v>
      </c>
      <c r="D125" t="s">
        <v>25</v>
      </c>
      <c r="E125">
        <v>600</v>
      </c>
      <c r="F125" t="s">
        <v>356</v>
      </c>
      <c r="G125" t="s">
        <v>179</v>
      </c>
      <c r="H125" t="s">
        <v>178</v>
      </c>
      <c r="I125" s="1">
        <v>292320</v>
      </c>
      <c r="J125">
        <v>59</v>
      </c>
      <c r="K125" s="7">
        <f>Таблица1[[#This Row],[Штуки]]/SUMIFS(Таблица1[Штуки],Таблица1[Ветка],Таблица1[[#This Row],[Ветка]],Таблица1[Месяц],Таблица1[[#This Row],[Месяц]])</f>
        <v>0.70238095238095233</v>
      </c>
      <c r="L125" s="1">
        <v>16539622</v>
      </c>
      <c r="M125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0.67230743053267394</v>
      </c>
      <c r="N125" t="s">
        <v>23</v>
      </c>
      <c r="O125">
        <v>6</v>
      </c>
      <c r="P125">
        <v>4.7</v>
      </c>
      <c r="Q125">
        <v>146</v>
      </c>
      <c r="R125" t="s">
        <v>344</v>
      </c>
      <c r="S125">
        <v>203.5</v>
      </c>
      <c r="T125">
        <v>81</v>
      </c>
      <c r="U125">
        <v>66.5</v>
      </c>
      <c r="V125">
        <v>2</v>
      </c>
      <c r="W125">
        <v>-18</v>
      </c>
    </row>
    <row r="126" spans="1:23" x14ac:dyDescent="0.3">
      <c r="A126">
        <v>121978898</v>
      </c>
      <c r="B126" t="s">
        <v>341</v>
      </c>
      <c r="C126" t="s">
        <v>29</v>
      </c>
      <c r="D126" t="s">
        <v>30</v>
      </c>
      <c r="E126">
        <v>718</v>
      </c>
      <c r="F126" t="s">
        <v>357</v>
      </c>
      <c r="G126" t="s">
        <v>180</v>
      </c>
      <c r="H126" t="s">
        <v>178</v>
      </c>
      <c r="I126" s="1">
        <v>424980</v>
      </c>
      <c r="J126">
        <v>24</v>
      </c>
      <c r="K126" s="7">
        <f>Таблица1[[#This Row],[Штуки]]/SUMIFS(Таблица1[Штуки],Таблица1[Ветка],Таблица1[[#This Row],[Ветка]],Таблица1[Месяц],Таблица1[[#This Row],[Месяц]])</f>
        <v>0.20689655172413793</v>
      </c>
      <c r="L126" s="1">
        <v>10332512</v>
      </c>
      <c r="M126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0.22933931000610297</v>
      </c>
      <c r="N126" t="s">
        <v>23</v>
      </c>
      <c r="O126">
        <v>6</v>
      </c>
      <c r="P126">
        <v>4.9000000000000004</v>
      </c>
      <c r="Q126">
        <v>124</v>
      </c>
      <c r="R126" t="s">
        <v>344</v>
      </c>
      <c r="S126">
        <v>200</v>
      </c>
      <c r="T126">
        <v>86</v>
      </c>
      <c r="U126">
        <v>75.7</v>
      </c>
      <c r="V126">
        <v>6</v>
      </c>
      <c r="W126">
        <v>-18</v>
      </c>
    </row>
    <row r="127" spans="1:23" x14ac:dyDescent="0.3">
      <c r="A127">
        <v>2800664</v>
      </c>
      <c r="B127" t="s">
        <v>343</v>
      </c>
      <c r="C127" t="s">
        <v>27</v>
      </c>
      <c r="D127" t="s">
        <v>25</v>
      </c>
      <c r="E127">
        <v>510</v>
      </c>
      <c r="F127" t="s">
        <v>355</v>
      </c>
      <c r="G127" t="s">
        <v>179</v>
      </c>
      <c r="H127" t="s">
        <v>178</v>
      </c>
      <c r="I127" s="1">
        <v>260200</v>
      </c>
      <c r="J127">
        <v>28</v>
      </c>
      <c r="K127" s="7">
        <f>Таблица1[[#This Row],[Штуки]]/SUMIFS(Таблица1[Штуки],Таблица1[Ветка],Таблица1[[#This Row],[Ветка]],Таблица1[Месяц],Таблица1[[#This Row],[Месяц]])</f>
        <v>0.22950819672131148</v>
      </c>
      <c r="L127" s="1">
        <v>7235669</v>
      </c>
      <c r="M127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0.21324747048077627</v>
      </c>
      <c r="N127" t="s">
        <v>23</v>
      </c>
      <c r="O127">
        <v>14</v>
      </c>
      <c r="P127">
        <v>4.8</v>
      </c>
      <c r="Q127">
        <v>192</v>
      </c>
      <c r="R127" t="s">
        <v>344</v>
      </c>
      <c r="S127">
        <v>179</v>
      </c>
      <c r="T127">
        <v>81</v>
      </c>
      <c r="U127">
        <v>66</v>
      </c>
      <c r="V127">
        <v>2</v>
      </c>
      <c r="W127">
        <v>-18</v>
      </c>
    </row>
    <row r="128" spans="1:23" x14ac:dyDescent="0.3">
      <c r="A128">
        <v>119264286</v>
      </c>
      <c r="B128" t="s">
        <v>341</v>
      </c>
      <c r="C128" t="s">
        <v>34</v>
      </c>
      <c r="D128" t="s">
        <v>35</v>
      </c>
      <c r="E128">
        <v>268</v>
      </c>
      <c r="F128" t="s">
        <v>352</v>
      </c>
      <c r="G128" t="s">
        <v>181</v>
      </c>
      <c r="H128" t="s">
        <v>178</v>
      </c>
      <c r="I128" s="1">
        <v>263800</v>
      </c>
      <c r="J128">
        <v>33</v>
      </c>
      <c r="K128" s="7">
        <f>Таблица1[[#This Row],[Штуки]]/SUMIFS(Таблица1[Штуки],Таблица1[Ветка],Таблица1[[#This Row],[Ветка]],Таблица1[Месяц],Таблица1[[#This Row],[Месяц]])</f>
        <v>0.42307692307692307</v>
      </c>
      <c r="L128" s="1">
        <v>5615572</v>
      </c>
      <c r="M128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0.4110327068925323</v>
      </c>
      <c r="N128" t="s">
        <v>23</v>
      </c>
      <c r="O128">
        <v>1</v>
      </c>
      <c r="P128">
        <v>5</v>
      </c>
      <c r="Q128">
        <v>47</v>
      </c>
      <c r="R128" t="s">
        <v>342</v>
      </c>
      <c r="S128">
        <v>110</v>
      </c>
      <c r="T128">
        <v>85</v>
      </c>
      <c r="U128">
        <v>60</v>
      </c>
      <c r="V128">
        <v>4</v>
      </c>
      <c r="W128">
        <v>-18</v>
      </c>
    </row>
    <row r="129" spans="1:23" x14ac:dyDescent="0.3">
      <c r="A129">
        <v>121978941</v>
      </c>
      <c r="B129" t="s">
        <v>341</v>
      </c>
      <c r="C129" t="s">
        <v>47</v>
      </c>
      <c r="D129" t="s">
        <v>30</v>
      </c>
      <c r="E129">
        <v>268</v>
      </c>
      <c r="F129" t="s">
        <v>352</v>
      </c>
      <c r="G129" t="s">
        <v>182</v>
      </c>
      <c r="H129" t="s">
        <v>178</v>
      </c>
      <c r="I129" s="1">
        <v>172900</v>
      </c>
      <c r="J129">
        <v>29</v>
      </c>
      <c r="K129" s="7">
        <f>Таблица1[[#This Row],[Штуки]]/SUMIFS(Таблица1[Штуки],Таблица1[Ветка],Таблица1[[#This Row],[Ветка]],Таблица1[Месяц],Таблица1[[#This Row],[Месяц]])</f>
        <v>0.37179487179487181</v>
      </c>
      <c r="L129" s="1">
        <v>5288728</v>
      </c>
      <c r="M129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0.38710930709433139</v>
      </c>
      <c r="N129" t="s">
        <v>23</v>
      </c>
      <c r="O129">
        <v>2</v>
      </c>
      <c r="P129">
        <v>4.9000000000000004</v>
      </c>
      <c r="Q129">
        <v>61</v>
      </c>
      <c r="R129" t="s">
        <v>344</v>
      </c>
      <c r="S129">
        <v>109.5</v>
      </c>
      <c r="T129">
        <v>85</v>
      </c>
      <c r="U129">
        <v>60</v>
      </c>
      <c r="V129">
        <v>3</v>
      </c>
      <c r="W129">
        <v>-18</v>
      </c>
    </row>
    <row r="130" spans="1:23" x14ac:dyDescent="0.3">
      <c r="A130">
        <v>121978926</v>
      </c>
      <c r="B130" t="s">
        <v>341</v>
      </c>
      <c r="C130" t="s">
        <v>72</v>
      </c>
      <c r="D130" t="s">
        <v>30</v>
      </c>
      <c r="E130">
        <v>328</v>
      </c>
      <c r="F130" t="s">
        <v>353</v>
      </c>
      <c r="G130" t="s">
        <v>179</v>
      </c>
      <c r="H130" t="s">
        <v>178</v>
      </c>
      <c r="I130" s="1">
        <v>204900</v>
      </c>
      <c r="J130">
        <v>25</v>
      </c>
      <c r="K130" s="7">
        <f>Таблица1[[#This Row],[Штуки]]/SUMIFS(Таблица1[Штуки],Таблица1[Ветка],Таблица1[[#This Row],[Ветка]],Таблица1[Месяц],Таблица1[[#This Row],[Месяц]])</f>
        <v>0.29069767441860467</v>
      </c>
      <c r="L130" s="1">
        <v>5155700</v>
      </c>
      <c r="M130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0.28615845497856712</v>
      </c>
      <c r="N130" t="s">
        <v>23</v>
      </c>
      <c r="O130">
        <v>2</v>
      </c>
      <c r="P130">
        <v>4.9000000000000004</v>
      </c>
      <c r="Q130">
        <v>138</v>
      </c>
      <c r="R130" t="s">
        <v>344</v>
      </c>
      <c r="S130">
        <v>124</v>
      </c>
      <c r="T130">
        <v>82.6</v>
      </c>
      <c r="U130">
        <v>69.3</v>
      </c>
      <c r="V130">
        <v>4</v>
      </c>
      <c r="W130">
        <v>-18</v>
      </c>
    </row>
    <row r="131" spans="1:23" x14ac:dyDescent="0.3">
      <c r="A131">
        <v>141583649</v>
      </c>
      <c r="B131" t="s">
        <v>343</v>
      </c>
      <c r="C131" t="s">
        <v>119</v>
      </c>
      <c r="D131" t="s">
        <v>38</v>
      </c>
      <c r="E131">
        <v>560</v>
      </c>
      <c r="F131" t="s">
        <v>355</v>
      </c>
      <c r="G131" t="s">
        <v>180</v>
      </c>
      <c r="H131" t="s">
        <v>178</v>
      </c>
      <c r="I131" s="1">
        <v>258990</v>
      </c>
      <c r="J131">
        <v>21</v>
      </c>
      <c r="K131" s="7">
        <f>Таблица1[[#This Row],[Штуки]]/SUMIFS(Таблица1[Штуки],Таблица1[Ветка],Таблица1[[#This Row],[Ветка]],Таблица1[Месяц],Таблица1[[#This Row],[Месяц]])</f>
        <v>0.1721311475409836</v>
      </c>
      <c r="L131" s="1">
        <v>4968356</v>
      </c>
      <c r="M131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0.14642590055570365</v>
      </c>
      <c r="N131" t="s">
        <v>23</v>
      </c>
      <c r="O131">
        <v>1</v>
      </c>
      <c r="P131">
        <v>4.7</v>
      </c>
      <c r="Q131">
        <v>21</v>
      </c>
      <c r="R131" t="s">
        <v>344</v>
      </c>
      <c r="S131">
        <v>160</v>
      </c>
      <c r="T131">
        <v>84</v>
      </c>
      <c r="U131">
        <v>67.400000000000006</v>
      </c>
      <c r="V131">
        <v>2</v>
      </c>
      <c r="W131">
        <v>-24</v>
      </c>
    </row>
    <row r="132" spans="1:23" x14ac:dyDescent="0.3">
      <c r="A132">
        <v>137446425</v>
      </c>
      <c r="B132" t="s">
        <v>341</v>
      </c>
      <c r="C132" t="s">
        <v>32</v>
      </c>
      <c r="D132" t="s">
        <v>20</v>
      </c>
      <c r="E132">
        <v>500</v>
      </c>
      <c r="F132" t="s">
        <v>355</v>
      </c>
      <c r="G132" t="s">
        <v>183</v>
      </c>
      <c r="H132" t="s">
        <v>178</v>
      </c>
      <c r="I132" s="1">
        <v>291750</v>
      </c>
      <c r="J132">
        <v>16</v>
      </c>
      <c r="K132" s="7">
        <f>Таблица1[[#This Row],[Штуки]]/SUMIFS(Таблица1[Штуки],Таблица1[Ветка],Таблица1[[#This Row],[Ветка]],Таблица1[Месяц],Таблица1[[#This Row],[Месяц]])</f>
        <v>0.13114754098360656</v>
      </c>
      <c r="L132" s="1">
        <v>4229411</v>
      </c>
      <c r="M132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0.12464793474847598</v>
      </c>
      <c r="N132" t="s">
        <v>23</v>
      </c>
      <c r="O132">
        <v>3</v>
      </c>
      <c r="P132">
        <v>4.9000000000000004</v>
      </c>
      <c r="Q132">
        <v>25</v>
      </c>
      <c r="R132" t="s">
        <v>342</v>
      </c>
      <c r="S132">
        <v>150</v>
      </c>
      <c r="T132">
        <v>85</v>
      </c>
      <c r="U132">
        <v>76</v>
      </c>
      <c r="V132">
        <v>5</v>
      </c>
      <c r="W132">
        <v>-24</v>
      </c>
    </row>
    <row r="133" spans="1:23" x14ac:dyDescent="0.3">
      <c r="A133">
        <v>124103248</v>
      </c>
      <c r="B133" t="s">
        <v>346</v>
      </c>
      <c r="C133" t="s">
        <v>184</v>
      </c>
      <c r="D133" t="s">
        <v>52</v>
      </c>
      <c r="E133">
        <v>1000</v>
      </c>
      <c r="F133" t="s">
        <v>360</v>
      </c>
      <c r="G133" t="s">
        <v>185</v>
      </c>
      <c r="H133" t="s">
        <v>178</v>
      </c>
      <c r="I133" s="1">
        <v>2000000</v>
      </c>
      <c r="J133">
        <v>2</v>
      </c>
      <c r="K133" s="7">
        <f>Таблица1[[#This Row],[Штуки]]/SUMIFS(Таблица1[Штуки],Таблица1[Ветка],Таблица1[[#This Row],[Ветка]],Таблица1[Месяц],Таблица1[[#This Row],[Месяц]])</f>
        <v>4.4444444444444446E-2</v>
      </c>
      <c r="L133" s="1">
        <v>4000000</v>
      </c>
      <c r="M133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0.15037378599953136</v>
      </c>
      <c r="N133" t="s">
        <v>23</v>
      </c>
      <c r="O133">
        <v>1</v>
      </c>
      <c r="P133">
        <v>5</v>
      </c>
      <c r="Q133">
        <v>0</v>
      </c>
      <c r="R133" t="s">
        <v>344</v>
      </c>
      <c r="S133">
        <v>120</v>
      </c>
      <c r="T133">
        <v>210</v>
      </c>
      <c r="U133">
        <v>70</v>
      </c>
      <c r="V133">
        <v>0</v>
      </c>
      <c r="W133">
        <v>-18</v>
      </c>
    </row>
    <row r="134" spans="1:23" x14ac:dyDescent="0.3">
      <c r="A134">
        <v>148808069</v>
      </c>
      <c r="B134" t="s">
        <v>341</v>
      </c>
      <c r="C134" t="s">
        <v>73</v>
      </c>
      <c r="D134" t="s">
        <v>74</v>
      </c>
      <c r="E134">
        <v>420</v>
      </c>
      <c r="F134" t="s">
        <v>354</v>
      </c>
      <c r="G134" t="s">
        <v>179</v>
      </c>
      <c r="H134" t="s">
        <v>178</v>
      </c>
      <c r="I134" s="1">
        <v>279990</v>
      </c>
      <c r="J134">
        <v>16</v>
      </c>
      <c r="K134" s="7">
        <f>Таблица1[[#This Row],[Штуки]]/SUMIFS(Таблица1[Штуки],Таблица1[Ветка],Таблица1[[#This Row],[Ветка]],Таблица1[Месяц],Таблица1[[#This Row],[Месяц]])</f>
        <v>0.45714285714285713</v>
      </c>
      <c r="L134" s="1">
        <v>3681091</v>
      </c>
      <c r="M134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0.42957050080077153</v>
      </c>
      <c r="N134" t="s">
        <v>23</v>
      </c>
      <c r="O134">
        <v>2</v>
      </c>
      <c r="P134">
        <v>5</v>
      </c>
      <c r="Q134">
        <v>13</v>
      </c>
      <c r="R134" t="s">
        <v>342</v>
      </c>
      <c r="S134">
        <v>139.30000000000001</v>
      </c>
      <c r="T134">
        <v>89</v>
      </c>
      <c r="U134">
        <v>77.599999999999994</v>
      </c>
      <c r="V134">
        <v>6</v>
      </c>
      <c r="W134">
        <v>0</v>
      </c>
    </row>
    <row r="135" spans="1:23" x14ac:dyDescent="0.3">
      <c r="A135">
        <v>117503807</v>
      </c>
      <c r="B135" t="s">
        <v>341</v>
      </c>
      <c r="C135" t="s">
        <v>43</v>
      </c>
      <c r="D135" t="s">
        <v>44</v>
      </c>
      <c r="E135">
        <v>700</v>
      </c>
      <c r="F135" t="s">
        <v>357</v>
      </c>
      <c r="G135" t="s">
        <v>180</v>
      </c>
      <c r="H135" t="s">
        <v>178</v>
      </c>
      <c r="I135" s="1">
        <v>393935</v>
      </c>
      <c r="J135">
        <v>9</v>
      </c>
      <c r="K135" s="7">
        <f>Таблица1[[#This Row],[Штуки]]/SUMIFS(Таблица1[Штуки],Таблица1[Ветка],Таблица1[[#This Row],[Ветка]],Таблица1[Месяц],Таблица1[[#This Row],[Месяц]])</f>
        <v>7.7586206896551727E-2</v>
      </c>
      <c r="L135" s="1">
        <v>3522620</v>
      </c>
      <c r="M135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7.8187689519615217E-2</v>
      </c>
      <c r="N135" t="s">
        <v>23</v>
      </c>
      <c r="O135">
        <v>3</v>
      </c>
      <c r="P135">
        <v>4.9000000000000004</v>
      </c>
      <c r="Q135">
        <v>7</v>
      </c>
      <c r="R135" t="s">
        <v>345</v>
      </c>
      <c r="S135">
        <v>200</v>
      </c>
      <c r="T135">
        <v>85</v>
      </c>
      <c r="U135">
        <v>75</v>
      </c>
      <c r="V135">
        <v>7</v>
      </c>
      <c r="W135">
        <v>-24</v>
      </c>
    </row>
    <row r="136" spans="1:23" x14ac:dyDescent="0.3">
      <c r="A136">
        <v>116138932</v>
      </c>
      <c r="B136" t="s">
        <v>341</v>
      </c>
      <c r="C136" t="s">
        <v>164</v>
      </c>
      <c r="D136" t="s">
        <v>165</v>
      </c>
      <c r="E136">
        <v>338</v>
      </c>
      <c r="F136" t="s">
        <v>353</v>
      </c>
      <c r="G136" t="s">
        <v>185</v>
      </c>
      <c r="H136" t="s">
        <v>178</v>
      </c>
      <c r="I136" s="1">
        <v>199000</v>
      </c>
      <c r="J136">
        <v>16</v>
      </c>
      <c r="K136" s="7">
        <f>Таблица1[[#This Row],[Штуки]]/SUMIFS(Таблица1[Штуки],Таблица1[Ветка],Таблица1[[#This Row],[Ветка]],Таблица1[Месяц],Таблица1[[#This Row],[Месяц]])</f>
        <v>0.18604651162790697</v>
      </c>
      <c r="L136" s="1">
        <v>3506238</v>
      </c>
      <c r="M136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0.19460784158642691</v>
      </c>
      <c r="N136" t="s">
        <v>23</v>
      </c>
      <c r="O136">
        <v>2</v>
      </c>
      <c r="P136">
        <v>5</v>
      </c>
      <c r="Q136">
        <v>81</v>
      </c>
      <c r="R136" t="s">
        <v>344</v>
      </c>
      <c r="S136">
        <v>130</v>
      </c>
      <c r="T136">
        <v>85</v>
      </c>
      <c r="U136">
        <v>65</v>
      </c>
      <c r="V136">
        <v>5</v>
      </c>
      <c r="W136">
        <v>-24</v>
      </c>
    </row>
    <row r="137" spans="1:23" x14ac:dyDescent="0.3">
      <c r="A137">
        <v>145109215</v>
      </c>
      <c r="B137" t="s">
        <v>341</v>
      </c>
      <c r="C137" t="s">
        <v>40</v>
      </c>
      <c r="D137" t="s">
        <v>41</v>
      </c>
      <c r="E137">
        <v>1240</v>
      </c>
      <c r="F137" t="s">
        <v>362</v>
      </c>
      <c r="G137" t="s">
        <v>186</v>
      </c>
      <c r="H137" t="s">
        <v>178</v>
      </c>
      <c r="I137" s="1">
        <v>523699</v>
      </c>
      <c r="J137">
        <v>6</v>
      </c>
      <c r="K137" s="7">
        <f>Таблица1[[#This Row],[Штуки]]/SUMIFS(Таблица1[Штуки],Таблица1[Ветка],Таблица1[[#This Row],[Ветка]],Таблица1[Месяц],Таблица1[[#This Row],[Месяц]])</f>
        <v>0.6</v>
      </c>
      <c r="L137" s="1">
        <v>3210584</v>
      </c>
      <c r="M137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0.53989420334771054</v>
      </c>
      <c r="N137" t="s">
        <v>23</v>
      </c>
      <c r="O137">
        <v>1</v>
      </c>
      <c r="P137">
        <v>4.8</v>
      </c>
      <c r="Q137">
        <v>3</v>
      </c>
      <c r="R137" t="s">
        <v>342</v>
      </c>
      <c r="S137">
        <v>250</v>
      </c>
      <c r="T137">
        <v>80</v>
      </c>
      <c r="U137">
        <v>76</v>
      </c>
      <c r="V137">
        <v>9</v>
      </c>
      <c r="W137">
        <v>-25</v>
      </c>
    </row>
    <row r="138" spans="1:23" x14ac:dyDescent="0.3">
      <c r="A138">
        <v>119264288</v>
      </c>
      <c r="B138" t="s">
        <v>341</v>
      </c>
      <c r="C138" t="s">
        <v>65</v>
      </c>
      <c r="D138" t="s">
        <v>35</v>
      </c>
      <c r="E138">
        <v>155</v>
      </c>
      <c r="F138" t="s">
        <v>351</v>
      </c>
      <c r="G138" t="s">
        <v>179</v>
      </c>
      <c r="H138" t="s">
        <v>178</v>
      </c>
      <c r="I138" s="1">
        <v>116500</v>
      </c>
      <c r="J138">
        <v>27</v>
      </c>
      <c r="K138" s="7">
        <f>Таблица1[[#This Row],[Штуки]]/SUMIFS(Таблица1[Штуки],Таблица1[Ветка],Таблица1[[#This Row],[Ветка]],Таблица1[Месяц],Таблица1[[#This Row],[Месяц]])</f>
        <v>0.79411764705882348</v>
      </c>
      <c r="L138" s="1">
        <v>3184982</v>
      </c>
      <c r="M138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0.82951117945175901</v>
      </c>
      <c r="N138" t="s">
        <v>23</v>
      </c>
      <c r="O138">
        <v>1</v>
      </c>
      <c r="P138">
        <v>5</v>
      </c>
      <c r="Q138">
        <v>16</v>
      </c>
      <c r="R138" t="s">
        <v>342</v>
      </c>
      <c r="S138">
        <v>50</v>
      </c>
      <c r="T138">
        <v>80</v>
      </c>
      <c r="U138">
        <v>80</v>
      </c>
      <c r="V138">
        <v>3</v>
      </c>
      <c r="W138">
        <v>0</v>
      </c>
    </row>
    <row r="139" spans="1:23" x14ac:dyDescent="0.3">
      <c r="A139">
        <v>141507444</v>
      </c>
      <c r="B139" t="s">
        <v>341</v>
      </c>
      <c r="C139" t="s">
        <v>37</v>
      </c>
      <c r="D139" t="s">
        <v>38</v>
      </c>
      <c r="E139">
        <v>318</v>
      </c>
      <c r="F139" t="s">
        <v>353</v>
      </c>
      <c r="G139" t="s">
        <v>180</v>
      </c>
      <c r="H139" t="s">
        <v>178</v>
      </c>
      <c r="I139" s="1">
        <v>550000</v>
      </c>
      <c r="J139">
        <v>16</v>
      </c>
      <c r="K139" s="7">
        <f>Таблица1[[#This Row],[Штуки]]/SUMIFS(Таблица1[Штуки],Таблица1[Ветка],Таблица1[[#This Row],[Ветка]],Таблица1[Месяц],Таблица1[[#This Row],[Месяц]])</f>
        <v>0.18604651162790697</v>
      </c>
      <c r="L139" s="1">
        <v>3167637</v>
      </c>
      <c r="M139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0.17581436271562415</v>
      </c>
      <c r="N139" t="s">
        <v>23</v>
      </c>
      <c r="O139">
        <v>3</v>
      </c>
      <c r="P139">
        <v>4.9000000000000004</v>
      </c>
      <c r="Q139">
        <v>20</v>
      </c>
      <c r="R139" t="s">
        <v>344</v>
      </c>
      <c r="S139">
        <v>129.4</v>
      </c>
      <c r="T139">
        <v>83</v>
      </c>
      <c r="U139">
        <v>59.8</v>
      </c>
      <c r="V139">
        <v>5</v>
      </c>
      <c r="W139">
        <v>-18</v>
      </c>
    </row>
    <row r="140" spans="1:23" x14ac:dyDescent="0.3">
      <c r="A140">
        <v>153608532</v>
      </c>
      <c r="B140" t="s">
        <v>343</v>
      </c>
      <c r="C140" t="s">
        <v>90</v>
      </c>
      <c r="D140" t="s">
        <v>91</v>
      </c>
      <c r="E140">
        <v>720</v>
      </c>
      <c r="F140" t="s">
        <v>357</v>
      </c>
      <c r="G140" t="s">
        <v>180</v>
      </c>
      <c r="H140" t="s">
        <v>178</v>
      </c>
      <c r="I140" s="1">
        <v>278000</v>
      </c>
      <c r="J140">
        <v>11</v>
      </c>
      <c r="K140" s="7">
        <f>Таблица1[[#This Row],[Штуки]]/SUMIFS(Таблица1[Штуки],Таблица1[Ветка],Таблица1[[#This Row],[Ветка]],Таблица1[Месяц],Таблица1[[#This Row],[Месяц]])</f>
        <v>9.4827586206896547E-2</v>
      </c>
      <c r="L140" s="1">
        <v>3063065</v>
      </c>
      <c r="M140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6.7987456835650786E-2</v>
      </c>
      <c r="N140" t="s">
        <v>23</v>
      </c>
      <c r="O140">
        <v>2</v>
      </c>
      <c r="P140">
        <v>5</v>
      </c>
      <c r="Q140">
        <v>1</v>
      </c>
      <c r="R140" t="s">
        <v>342</v>
      </c>
      <c r="S140">
        <v>180</v>
      </c>
      <c r="T140">
        <v>80.599999999999994</v>
      </c>
      <c r="U140">
        <v>71</v>
      </c>
      <c r="V140">
        <v>0</v>
      </c>
      <c r="W140">
        <v>-18</v>
      </c>
    </row>
    <row r="141" spans="1:23" x14ac:dyDescent="0.3">
      <c r="A141">
        <v>157671625</v>
      </c>
      <c r="B141" t="s">
        <v>341</v>
      </c>
      <c r="C141" t="s">
        <v>187</v>
      </c>
      <c r="D141" t="s">
        <v>74</v>
      </c>
      <c r="E141">
        <v>540</v>
      </c>
      <c r="F141" t="s">
        <v>355</v>
      </c>
      <c r="G141" t="s">
        <v>179</v>
      </c>
      <c r="H141" t="s">
        <v>178</v>
      </c>
      <c r="I141" s="1">
        <v>298990</v>
      </c>
      <c r="J141">
        <v>9</v>
      </c>
      <c r="K141" s="7">
        <f>Таблица1[[#This Row],[Штуки]]/SUMIFS(Таблица1[Штуки],Таблица1[Ветка],Таблица1[[#This Row],[Ветка]],Таблица1[Месяц],Таблица1[[#This Row],[Месяц]])</f>
        <v>7.3770491803278687E-2</v>
      </c>
      <c r="L141" s="1">
        <v>2712081</v>
      </c>
      <c r="M141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7.9929639261963781E-2</v>
      </c>
      <c r="N141" t="s">
        <v>23</v>
      </c>
      <c r="O141">
        <v>2</v>
      </c>
      <c r="P141">
        <v>5</v>
      </c>
      <c r="Q141">
        <v>4</v>
      </c>
      <c r="R141" t="s">
        <v>344</v>
      </c>
      <c r="S141">
        <v>150</v>
      </c>
      <c r="T141">
        <v>85</v>
      </c>
      <c r="U141">
        <v>70</v>
      </c>
      <c r="V141">
        <v>7</v>
      </c>
      <c r="W141">
        <v>-20</v>
      </c>
    </row>
    <row r="142" spans="1:23" x14ac:dyDescent="0.3">
      <c r="A142">
        <v>113954312</v>
      </c>
      <c r="B142" t="s">
        <v>343</v>
      </c>
      <c r="C142" t="s">
        <v>45</v>
      </c>
      <c r="D142" t="s">
        <v>46</v>
      </c>
      <c r="E142">
        <v>516</v>
      </c>
      <c r="F142" t="s">
        <v>355</v>
      </c>
      <c r="G142" t="s">
        <v>179</v>
      </c>
      <c r="H142" t="s">
        <v>178</v>
      </c>
      <c r="I142" s="1">
        <v>369990</v>
      </c>
      <c r="J142">
        <v>8</v>
      </c>
      <c r="K142" s="7">
        <f>Таблица1[[#This Row],[Штуки]]/SUMIFS(Таблица1[Штуки],Таблица1[Ветка],Таблица1[[#This Row],[Ветка]],Таблица1[Месяц],Таблица1[[#This Row],[Месяц]])</f>
        <v>6.5573770491803282E-2</v>
      </c>
      <c r="L142" s="1">
        <v>2563751</v>
      </c>
      <c r="M142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7.5558101910488257E-2</v>
      </c>
      <c r="N142" t="s">
        <v>23</v>
      </c>
      <c r="O142">
        <v>3</v>
      </c>
      <c r="P142">
        <v>5</v>
      </c>
      <c r="Q142">
        <v>34</v>
      </c>
      <c r="R142" t="s">
        <v>344</v>
      </c>
      <c r="S142">
        <v>165</v>
      </c>
      <c r="T142">
        <v>84.5</v>
      </c>
      <c r="U142">
        <v>74.5</v>
      </c>
      <c r="V142">
        <v>0</v>
      </c>
      <c r="W142">
        <v>-29</v>
      </c>
    </row>
    <row r="143" spans="1:23" x14ac:dyDescent="0.3">
      <c r="A143">
        <v>121978911</v>
      </c>
      <c r="B143" t="s">
        <v>341</v>
      </c>
      <c r="C143" t="s">
        <v>63</v>
      </c>
      <c r="D143" t="s">
        <v>30</v>
      </c>
      <c r="E143">
        <v>518</v>
      </c>
      <c r="F143" t="s">
        <v>355</v>
      </c>
      <c r="G143" t="s">
        <v>180</v>
      </c>
      <c r="H143" t="s">
        <v>178</v>
      </c>
      <c r="I143" s="1">
        <v>309990</v>
      </c>
      <c r="J143">
        <v>8</v>
      </c>
      <c r="K143" s="7">
        <f>Таблица1[[#This Row],[Штуки]]/SUMIFS(Таблица1[Штуки],Таблица1[Ветка],Таблица1[[#This Row],[Ветка]],Таблица1[Месяц],Таблица1[[#This Row],[Месяц]])</f>
        <v>6.5573770491803282E-2</v>
      </c>
      <c r="L143" s="1">
        <v>2531719</v>
      </c>
      <c r="M143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7.4614064396549981E-2</v>
      </c>
      <c r="N143" t="s">
        <v>23</v>
      </c>
      <c r="O143">
        <v>8</v>
      </c>
      <c r="P143">
        <v>4.9000000000000004</v>
      </c>
      <c r="Q143">
        <v>55</v>
      </c>
      <c r="R143" t="s">
        <v>344</v>
      </c>
      <c r="S143">
        <v>147.5</v>
      </c>
      <c r="T143">
        <v>86</v>
      </c>
      <c r="U143">
        <v>75.7</v>
      </c>
      <c r="V143">
        <v>4</v>
      </c>
      <c r="W143">
        <v>-18</v>
      </c>
    </row>
    <row r="144" spans="1:23" x14ac:dyDescent="0.3">
      <c r="A144">
        <v>139085554</v>
      </c>
      <c r="B144" t="s">
        <v>341</v>
      </c>
      <c r="C144" t="s">
        <v>94</v>
      </c>
      <c r="D144" t="s">
        <v>52</v>
      </c>
      <c r="E144">
        <v>326</v>
      </c>
      <c r="F144" t="s">
        <v>353</v>
      </c>
      <c r="G144" t="s">
        <v>177</v>
      </c>
      <c r="H144" t="s">
        <v>178</v>
      </c>
      <c r="I144" s="1">
        <v>199000</v>
      </c>
      <c r="J144">
        <v>12</v>
      </c>
      <c r="K144" s="7">
        <f>Таблица1[[#This Row],[Штуки]]/SUMIFS(Таблица1[Штуки],Таблица1[Ветка],Таблица1[[#This Row],[Ветка]],Таблица1[Месяц],Таблица1[[#This Row],[Месяц]])</f>
        <v>0.13953488372093023</v>
      </c>
      <c r="L144" s="1">
        <v>2418067</v>
      </c>
      <c r="M144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0.13421074087993073</v>
      </c>
      <c r="N144" t="s">
        <v>23</v>
      </c>
      <c r="O144">
        <v>5</v>
      </c>
      <c r="P144">
        <v>5</v>
      </c>
      <c r="Q144">
        <v>2</v>
      </c>
      <c r="R144" t="s">
        <v>344</v>
      </c>
      <c r="S144">
        <v>125</v>
      </c>
      <c r="T144">
        <v>91</v>
      </c>
      <c r="U144">
        <v>62</v>
      </c>
      <c r="V144">
        <v>3</v>
      </c>
      <c r="W144">
        <v>-18</v>
      </c>
    </row>
    <row r="145" spans="1:23" x14ac:dyDescent="0.3">
      <c r="A145">
        <v>141408862</v>
      </c>
      <c r="B145" t="s">
        <v>341</v>
      </c>
      <c r="C145" t="s">
        <v>59</v>
      </c>
      <c r="D145" t="s">
        <v>52</v>
      </c>
      <c r="E145">
        <v>600</v>
      </c>
      <c r="F145" t="s">
        <v>356</v>
      </c>
      <c r="G145" t="s">
        <v>177</v>
      </c>
      <c r="H145" t="s">
        <v>178</v>
      </c>
      <c r="I145" s="1">
        <v>371000</v>
      </c>
      <c r="J145">
        <v>6</v>
      </c>
      <c r="K145" s="7">
        <f>Таблица1[[#This Row],[Штуки]]/SUMIFS(Таблица1[Штуки],Таблица1[Ветка],Таблица1[[#This Row],[Ветка]],Таблица1[Месяц],Таблица1[[#This Row],[Месяц]])</f>
        <v>7.1428571428571425E-2</v>
      </c>
      <c r="L145" s="1">
        <v>2226000</v>
      </c>
      <c r="M145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9.0483104170441878E-2</v>
      </c>
      <c r="N145" t="s">
        <v>23</v>
      </c>
      <c r="O145">
        <v>4</v>
      </c>
      <c r="P145">
        <v>5</v>
      </c>
      <c r="Q145">
        <v>5</v>
      </c>
      <c r="R145" t="s">
        <v>344</v>
      </c>
      <c r="S145">
        <v>165</v>
      </c>
      <c r="T145">
        <v>86</v>
      </c>
      <c r="U145">
        <v>76</v>
      </c>
      <c r="V145">
        <v>5</v>
      </c>
      <c r="W145">
        <v>-18</v>
      </c>
    </row>
    <row r="146" spans="1:23" x14ac:dyDescent="0.3">
      <c r="A146">
        <v>141583677</v>
      </c>
      <c r="B146" t="s">
        <v>343</v>
      </c>
      <c r="C146" t="s">
        <v>143</v>
      </c>
      <c r="D146" t="s">
        <v>38</v>
      </c>
      <c r="E146">
        <v>660</v>
      </c>
      <c r="F146" t="s">
        <v>356</v>
      </c>
      <c r="G146" t="s">
        <v>180</v>
      </c>
      <c r="H146" t="s">
        <v>178</v>
      </c>
      <c r="I146" s="1">
        <v>263990</v>
      </c>
      <c r="J146">
        <v>8</v>
      </c>
      <c r="K146" s="7">
        <f>Таблица1[[#This Row],[Штуки]]/SUMIFS(Таблица1[Штуки],Таблица1[Ветка],Таблица1[[#This Row],[Ветка]],Таблица1[Месяц],Таблица1[[#This Row],[Месяц]])</f>
        <v>9.5238095238095233E-2</v>
      </c>
      <c r="L146" s="1">
        <v>2130728</v>
      </c>
      <c r="M146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8.6610459830582784E-2</v>
      </c>
      <c r="N146" t="s">
        <v>23</v>
      </c>
      <c r="O146">
        <v>1</v>
      </c>
      <c r="P146">
        <v>4.7</v>
      </c>
      <c r="Q146">
        <v>11</v>
      </c>
      <c r="R146" t="s">
        <v>344</v>
      </c>
      <c r="S146">
        <v>180</v>
      </c>
      <c r="T146">
        <v>84</v>
      </c>
      <c r="U146">
        <v>67.400000000000006</v>
      </c>
      <c r="V146">
        <v>2</v>
      </c>
      <c r="W146">
        <v>-24</v>
      </c>
    </row>
    <row r="147" spans="1:23" x14ac:dyDescent="0.3">
      <c r="A147">
        <v>136188264</v>
      </c>
      <c r="B147" t="s">
        <v>341</v>
      </c>
      <c r="C147" t="s">
        <v>68</v>
      </c>
      <c r="D147" t="s">
        <v>30</v>
      </c>
      <c r="E147">
        <v>400</v>
      </c>
      <c r="F147" t="s">
        <v>354</v>
      </c>
      <c r="G147" t="s">
        <v>188</v>
      </c>
      <c r="H147" t="s">
        <v>178</v>
      </c>
      <c r="I147" s="1">
        <v>255000</v>
      </c>
      <c r="J147">
        <v>8</v>
      </c>
      <c r="K147" s="7">
        <f>Таблица1[[#This Row],[Штуки]]/SUMIFS(Таблица1[Штуки],Таблица1[Ветка],Таблица1[[#This Row],[Ветка]],Таблица1[Месяц],Таблица1[[#This Row],[Месяц]])</f>
        <v>0.22857142857142856</v>
      </c>
      <c r="L147" s="1">
        <v>2075897</v>
      </c>
      <c r="M147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0.24224995087076606</v>
      </c>
      <c r="N147" t="s">
        <v>23</v>
      </c>
      <c r="O147">
        <v>2</v>
      </c>
      <c r="P147">
        <v>4.5999999999999996</v>
      </c>
      <c r="Q147">
        <v>19</v>
      </c>
      <c r="R147" t="s">
        <v>344</v>
      </c>
      <c r="S147">
        <v>144</v>
      </c>
      <c r="T147">
        <v>84.1</v>
      </c>
      <c r="U147">
        <v>66</v>
      </c>
      <c r="V147">
        <v>4</v>
      </c>
      <c r="W147">
        <v>-18</v>
      </c>
    </row>
    <row r="148" spans="1:23" x14ac:dyDescent="0.3">
      <c r="A148">
        <v>122652103</v>
      </c>
      <c r="B148" t="s">
        <v>343</v>
      </c>
      <c r="C148" t="s">
        <v>189</v>
      </c>
      <c r="D148" t="s">
        <v>71</v>
      </c>
      <c r="E148">
        <v>1700</v>
      </c>
      <c r="F148" t="s">
        <v>366</v>
      </c>
      <c r="G148" t="s">
        <v>179</v>
      </c>
      <c r="H148" t="s">
        <v>178</v>
      </c>
      <c r="I148" s="1">
        <v>850400</v>
      </c>
      <c r="J148">
        <v>2</v>
      </c>
      <c r="K148" s="7">
        <f>Таблица1[[#This Row],[Штуки]]/SUMIFS(Таблица1[Штуки],Таблица1[Ветка],Таблица1[[#This Row],[Ветка]],Таблица1[Месяц],Таблица1[[#This Row],[Месяц]])</f>
        <v>1</v>
      </c>
      <c r="L148" s="1">
        <v>1700800</v>
      </c>
      <c r="M148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1</v>
      </c>
      <c r="N148" t="s">
        <v>23</v>
      </c>
      <c r="O148">
        <v>2</v>
      </c>
      <c r="P148">
        <v>5</v>
      </c>
      <c r="Q148">
        <v>0</v>
      </c>
      <c r="R148" t="s">
        <v>344</v>
      </c>
      <c r="S148">
        <v>265</v>
      </c>
      <c r="T148">
        <v>90</v>
      </c>
      <c r="U148">
        <v>110</v>
      </c>
      <c r="V148">
        <v>2</v>
      </c>
      <c r="W148">
        <v>-18</v>
      </c>
    </row>
    <row r="149" spans="1:23" x14ac:dyDescent="0.3">
      <c r="A149">
        <v>117232074</v>
      </c>
      <c r="B149" t="s">
        <v>341</v>
      </c>
      <c r="C149" t="s">
        <v>113</v>
      </c>
      <c r="D149" t="s">
        <v>25</v>
      </c>
      <c r="E149">
        <v>410</v>
      </c>
      <c r="F149" t="s">
        <v>354</v>
      </c>
      <c r="G149" t="s">
        <v>179</v>
      </c>
      <c r="H149" t="s">
        <v>178</v>
      </c>
      <c r="I149" s="1">
        <v>263132</v>
      </c>
      <c r="J149">
        <v>6</v>
      </c>
      <c r="K149" s="7">
        <f>Таблица1[[#This Row],[Штуки]]/SUMIFS(Таблица1[Штуки],Таблица1[Ветка],Таблица1[[#This Row],[Ветка]],Таблица1[Месяц],Таблица1[[#This Row],[Месяц]])</f>
        <v>0.17142857142857143</v>
      </c>
      <c r="L149" s="1">
        <v>1620033</v>
      </c>
      <c r="M149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0.18905220955520421</v>
      </c>
      <c r="N149" t="s">
        <v>23</v>
      </c>
      <c r="O149">
        <v>5</v>
      </c>
      <c r="P149">
        <v>5</v>
      </c>
      <c r="Q149">
        <v>54</v>
      </c>
      <c r="R149" t="s">
        <v>344</v>
      </c>
      <c r="S149">
        <v>132</v>
      </c>
      <c r="T149">
        <v>88.5</v>
      </c>
      <c r="U149">
        <v>66.5</v>
      </c>
      <c r="V149">
        <v>5</v>
      </c>
      <c r="W149">
        <v>-25</v>
      </c>
    </row>
    <row r="150" spans="1:23" x14ac:dyDescent="0.3">
      <c r="A150">
        <v>140611570</v>
      </c>
      <c r="B150" t="s">
        <v>343</v>
      </c>
      <c r="C150" t="s">
        <v>49</v>
      </c>
      <c r="D150" t="s">
        <v>50</v>
      </c>
      <c r="E150">
        <v>1600</v>
      </c>
      <c r="F150" t="s">
        <v>365</v>
      </c>
      <c r="G150" t="s">
        <v>179</v>
      </c>
      <c r="H150" t="s">
        <v>178</v>
      </c>
      <c r="I150" s="1">
        <v>729990</v>
      </c>
      <c r="J150">
        <v>2</v>
      </c>
      <c r="K150" s="7">
        <f>Таблица1[[#This Row],[Штуки]]/SUMIFS(Таблица1[Штуки],Таблица1[Ветка],Таблица1[[#This Row],[Ветка]],Таблица1[Месяц],Таблица1[[#This Row],[Месяц]])</f>
        <v>1</v>
      </c>
      <c r="L150" s="1">
        <v>1535082</v>
      </c>
      <c r="M150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1</v>
      </c>
      <c r="N150" t="s">
        <v>23</v>
      </c>
      <c r="O150">
        <v>2</v>
      </c>
      <c r="P150">
        <v>5</v>
      </c>
      <c r="Q150">
        <v>10</v>
      </c>
      <c r="R150" t="s">
        <v>344</v>
      </c>
      <c r="S150">
        <v>315</v>
      </c>
      <c r="T150">
        <v>93</v>
      </c>
      <c r="U150">
        <v>89</v>
      </c>
      <c r="V150">
        <v>0</v>
      </c>
      <c r="W150">
        <v>-18</v>
      </c>
    </row>
    <row r="151" spans="1:23" x14ac:dyDescent="0.3">
      <c r="A151">
        <v>137444909</v>
      </c>
      <c r="B151" t="s">
        <v>341</v>
      </c>
      <c r="C151" t="s">
        <v>85</v>
      </c>
      <c r="D151" t="s">
        <v>20</v>
      </c>
      <c r="E151">
        <v>500</v>
      </c>
      <c r="F151" t="s">
        <v>355</v>
      </c>
      <c r="G151" t="s">
        <v>177</v>
      </c>
      <c r="H151" t="s">
        <v>178</v>
      </c>
      <c r="I151" s="1">
        <v>298900</v>
      </c>
      <c r="J151">
        <v>5</v>
      </c>
      <c r="K151" s="7">
        <f>Таблица1[[#This Row],[Штуки]]/SUMIFS(Таблица1[Штуки],Таблица1[Ветка],Таблица1[[#This Row],[Ветка]],Таблица1[Месяц],Таблица1[[#This Row],[Месяц]])</f>
        <v>4.0983606557377046E-2</v>
      </c>
      <c r="L151" s="1">
        <v>1514399</v>
      </c>
      <c r="M151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4.4631913932024404E-2</v>
      </c>
      <c r="N151" t="s">
        <v>23</v>
      </c>
      <c r="O151">
        <v>1</v>
      </c>
      <c r="P151">
        <v>5</v>
      </c>
      <c r="Q151">
        <v>0</v>
      </c>
      <c r="R151" t="s">
        <v>342</v>
      </c>
      <c r="S151">
        <v>150</v>
      </c>
      <c r="T151">
        <v>85</v>
      </c>
      <c r="U151">
        <v>76</v>
      </c>
      <c r="V151">
        <v>5</v>
      </c>
      <c r="W151">
        <v>-24</v>
      </c>
    </row>
    <row r="152" spans="1:23" x14ac:dyDescent="0.3">
      <c r="A152">
        <v>117503828</v>
      </c>
      <c r="B152" t="s">
        <v>341</v>
      </c>
      <c r="C152" t="s">
        <v>111</v>
      </c>
      <c r="D152" t="s">
        <v>44</v>
      </c>
      <c r="E152">
        <v>1000</v>
      </c>
      <c r="F152" t="s">
        <v>360</v>
      </c>
      <c r="G152" t="s">
        <v>180</v>
      </c>
      <c r="H152" t="s">
        <v>178</v>
      </c>
      <c r="I152" s="1">
        <v>528790</v>
      </c>
      <c r="J152">
        <v>2</v>
      </c>
      <c r="K152" s="7">
        <f>Таблица1[[#This Row],[Штуки]]/SUMIFS(Таблица1[Штуки],Таблица1[Ветка],Таблица1[[#This Row],[Ветка]],Таблица1[Месяц],Таблица1[[#This Row],[Месяц]])</f>
        <v>4.4444444444444446E-2</v>
      </c>
      <c r="L152" s="1">
        <v>1461930</v>
      </c>
      <c r="M152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5.495898724157372E-2</v>
      </c>
      <c r="N152" t="s">
        <v>23</v>
      </c>
      <c r="O152">
        <v>3</v>
      </c>
      <c r="P152">
        <v>4.8</v>
      </c>
      <c r="Q152">
        <v>6</v>
      </c>
      <c r="R152" t="s">
        <v>345</v>
      </c>
      <c r="S152">
        <v>200</v>
      </c>
      <c r="T152">
        <v>85</v>
      </c>
      <c r="U152">
        <v>75</v>
      </c>
      <c r="V152">
        <v>9</v>
      </c>
      <c r="W152">
        <v>-18</v>
      </c>
    </row>
    <row r="153" spans="1:23" x14ac:dyDescent="0.3">
      <c r="A153">
        <v>108699680</v>
      </c>
      <c r="B153" t="s">
        <v>343</v>
      </c>
      <c r="C153" t="s">
        <v>190</v>
      </c>
      <c r="D153" t="s">
        <v>133</v>
      </c>
      <c r="E153">
        <v>850</v>
      </c>
      <c r="F153" t="s">
        <v>358</v>
      </c>
      <c r="G153" t="s">
        <v>179</v>
      </c>
      <c r="H153" t="s">
        <v>178</v>
      </c>
      <c r="I153" s="1">
        <v>379885</v>
      </c>
      <c r="J153">
        <v>3</v>
      </c>
      <c r="K153" s="7">
        <f>Таблица1[[#This Row],[Штуки]]/SUMIFS(Таблица1[Штуки],Таблица1[Ветка],Таблица1[[#This Row],[Ветка]],Таблица1[Месяц],Таблица1[[#This Row],[Месяц]])</f>
        <v>0.23076923076923078</v>
      </c>
      <c r="L153" s="1">
        <v>1257355</v>
      </c>
      <c r="M153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0.22786021560327491</v>
      </c>
      <c r="N153" t="s">
        <v>23</v>
      </c>
      <c r="O153">
        <v>4</v>
      </c>
      <c r="P153">
        <v>4.8</v>
      </c>
      <c r="Q153">
        <v>3</v>
      </c>
      <c r="R153" t="s">
        <v>344</v>
      </c>
      <c r="S153">
        <v>201</v>
      </c>
      <c r="T153">
        <v>78</v>
      </c>
      <c r="U153">
        <v>85</v>
      </c>
      <c r="V153">
        <v>1</v>
      </c>
      <c r="W153">
        <v>0</v>
      </c>
    </row>
    <row r="154" spans="1:23" x14ac:dyDescent="0.3">
      <c r="A154">
        <v>142956771</v>
      </c>
      <c r="B154" t="s">
        <v>343</v>
      </c>
      <c r="C154" t="s">
        <v>191</v>
      </c>
      <c r="D154" t="s">
        <v>30</v>
      </c>
      <c r="E154">
        <v>718</v>
      </c>
      <c r="F154" t="s">
        <v>357</v>
      </c>
      <c r="G154" t="s">
        <v>179</v>
      </c>
      <c r="H154" t="s">
        <v>178</v>
      </c>
      <c r="I154" s="1">
        <v>399990</v>
      </c>
      <c r="J154">
        <v>3</v>
      </c>
      <c r="K154" s="7">
        <f>Таблица1[[#This Row],[Штуки]]/SUMIFS(Таблица1[Штуки],Таблица1[Ветка],Таблица1[[#This Row],[Ветка]],Таблица1[Месяц],Таблица1[[#This Row],[Месяц]])</f>
        <v>2.5862068965517241E-2</v>
      </c>
      <c r="L154" s="1">
        <v>1229970</v>
      </c>
      <c r="M154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2.7300280041117442E-2</v>
      </c>
      <c r="N154" t="s">
        <v>23</v>
      </c>
      <c r="O154">
        <v>2</v>
      </c>
      <c r="P154">
        <v>4.9000000000000004</v>
      </c>
      <c r="Q154">
        <v>9</v>
      </c>
      <c r="R154" t="s">
        <v>342</v>
      </c>
      <c r="S154">
        <v>197</v>
      </c>
      <c r="T154">
        <v>86.4</v>
      </c>
      <c r="U154">
        <v>93.5</v>
      </c>
      <c r="V154">
        <v>0</v>
      </c>
      <c r="W154">
        <v>-35</v>
      </c>
    </row>
    <row r="155" spans="1:23" x14ac:dyDescent="0.3">
      <c r="A155">
        <v>113072746</v>
      </c>
      <c r="B155" t="s">
        <v>341</v>
      </c>
      <c r="C155" t="s">
        <v>192</v>
      </c>
      <c r="D155" t="s">
        <v>87</v>
      </c>
      <c r="E155">
        <v>700</v>
      </c>
      <c r="F155" t="s">
        <v>357</v>
      </c>
      <c r="G155" t="s">
        <v>188</v>
      </c>
      <c r="H155" t="s">
        <v>178</v>
      </c>
      <c r="I155" s="1">
        <v>459500</v>
      </c>
      <c r="J155">
        <v>3</v>
      </c>
      <c r="K155" s="7">
        <f>Таблица1[[#This Row],[Штуки]]/SUMIFS(Таблица1[Штуки],Таблица1[Ветка],Таблица1[[#This Row],[Ветка]],Таблица1[Месяц],Таблица1[[#This Row],[Месяц]])</f>
        <v>2.5862068965517241E-2</v>
      </c>
      <c r="L155" s="1">
        <v>1197000</v>
      </c>
      <c r="M155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2.6568481515173201E-2</v>
      </c>
      <c r="N155" t="s">
        <v>57</v>
      </c>
      <c r="O155">
        <v>2</v>
      </c>
      <c r="P155">
        <v>4.9000000000000004</v>
      </c>
      <c r="Q155">
        <v>45</v>
      </c>
      <c r="R155" t="s">
        <v>344</v>
      </c>
      <c r="S155">
        <v>180</v>
      </c>
      <c r="T155">
        <v>84</v>
      </c>
      <c r="U155">
        <v>60</v>
      </c>
      <c r="V155">
        <v>6</v>
      </c>
      <c r="W155">
        <v>-22</v>
      </c>
    </row>
    <row r="156" spans="1:23" x14ac:dyDescent="0.3">
      <c r="A156">
        <v>120039135</v>
      </c>
      <c r="B156" t="s">
        <v>341</v>
      </c>
      <c r="C156" t="s">
        <v>175</v>
      </c>
      <c r="D156" t="s">
        <v>93</v>
      </c>
      <c r="E156">
        <v>280</v>
      </c>
      <c r="F156" t="s">
        <v>352</v>
      </c>
      <c r="G156" t="s">
        <v>193</v>
      </c>
      <c r="H156" t="s">
        <v>178</v>
      </c>
      <c r="I156" s="1">
        <v>179990</v>
      </c>
      <c r="J156">
        <v>7</v>
      </c>
      <c r="K156" s="7">
        <f>Таблица1[[#This Row],[Штуки]]/SUMIFS(Таблица1[Штуки],Таблица1[Ветка],Таблица1[[#This Row],[Ветка]],Таблица1[Месяц],Таблица1[[#This Row],[Месяц]])</f>
        <v>8.9743589743589744E-2</v>
      </c>
      <c r="L156" s="1">
        <v>1135910</v>
      </c>
      <c r="M156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8.3143117403943242E-2</v>
      </c>
      <c r="N156" t="s">
        <v>23</v>
      </c>
      <c r="O156">
        <v>1</v>
      </c>
      <c r="P156">
        <v>4.9000000000000004</v>
      </c>
      <c r="Q156">
        <v>17</v>
      </c>
      <c r="R156" t="s">
        <v>342</v>
      </c>
      <c r="S156">
        <v>69</v>
      </c>
      <c r="T156">
        <v>90</v>
      </c>
      <c r="U156">
        <v>102</v>
      </c>
      <c r="V156">
        <v>4</v>
      </c>
      <c r="W156">
        <v>-24</v>
      </c>
    </row>
    <row r="157" spans="1:23" x14ac:dyDescent="0.3">
      <c r="A157">
        <v>156640750</v>
      </c>
      <c r="B157" t="s">
        <v>341</v>
      </c>
      <c r="C157" t="s">
        <v>194</v>
      </c>
      <c r="D157" t="s">
        <v>165</v>
      </c>
      <c r="E157">
        <v>338</v>
      </c>
      <c r="F157" t="s">
        <v>353</v>
      </c>
      <c r="G157" t="s">
        <v>195</v>
      </c>
      <c r="H157" t="s">
        <v>178</v>
      </c>
      <c r="I157" s="1">
        <v>213999</v>
      </c>
      <c r="J157">
        <v>5</v>
      </c>
      <c r="K157" s="7">
        <f>Таблица1[[#This Row],[Штуки]]/SUMIFS(Таблица1[Штуки],Таблица1[Ветка],Таблица1[[#This Row],[Ветка]],Таблица1[Месяц],Таблица1[[#This Row],[Месяц]])</f>
        <v>5.8139534883720929E-2</v>
      </c>
      <c r="L157" s="1">
        <v>1115171</v>
      </c>
      <c r="M157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6.1895690283938876E-2</v>
      </c>
      <c r="N157" t="s">
        <v>23</v>
      </c>
      <c r="O157">
        <v>5</v>
      </c>
      <c r="P157">
        <v>5</v>
      </c>
      <c r="Q157">
        <v>4</v>
      </c>
      <c r="R157" t="s">
        <v>344</v>
      </c>
      <c r="S157">
        <v>128</v>
      </c>
      <c r="T157">
        <v>83</v>
      </c>
      <c r="U157">
        <v>60</v>
      </c>
      <c r="V157">
        <v>5</v>
      </c>
      <c r="W157">
        <v>-24</v>
      </c>
    </row>
    <row r="158" spans="1:23" x14ac:dyDescent="0.3">
      <c r="A158">
        <v>138886743</v>
      </c>
      <c r="B158" t="s">
        <v>346</v>
      </c>
      <c r="C158" t="s">
        <v>99</v>
      </c>
      <c r="D158" t="s">
        <v>100</v>
      </c>
      <c r="E158">
        <v>1200</v>
      </c>
      <c r="F158" t="s">
        <v>362</v>
      </c>
      <c r="G158" t="s">
        <v>196</v>
      </c>
      <c r="H158" t="s">
        <v>178</v>
      </c>
      <c r="I158" s="1">
        <v>539065</v>
      </c>
      <c r="J158">
        <v>2</v>
      </c>
      <c r="K158" s="7">
        <f>Таблица1[[#This Row],[Штуки]]/SUMIFS(Таблица1[Штуки],Таблица1[Ветка],Таблица1[[#This Row],[Ветка]],Таблица1[Месяц],Таблица1[[#This Row],[Месяц]])</f>
        <v>0.2</v>
      </c>
      <c r="L158" s="1">
        <v>1108407</v>
      </c>
      <c r="M158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0.18639054896243978</v>
      </c>
      <c r="N158" t="s">
        <v>23</v>
      </c>
      <c r="O158">
        <v>3</v>
      </c>
      <c r="P158">
        <v>5</v>
      </c>
      <c r="Q158">
        <v>3</v>
      </c>
      <c r="R158" t="s">
        <v>342</v>
      </c>
      <c r="S158">
        <v>120</v>
      </c>
      <c r="T158">
        <v>196</v>
      </c>
      <c r="U158">
        <v>76</v>
      </c>
      <c r="V158">
        <v>0</v>
      </c>
      <c r="W158">
        <v>-14</v>
      </c>
    </row>
    <row r="159" spans="1:23" x14ac:dyDescent="0.3">
      <c r="A159">
        <v>114694121</v>
      </c>
      <c r="B159" t="s">
        <v>346</v>
      </c>
      <c r="C159" t="s">
        <v>53</v>
      </c>
      <c r="D159" t="s">
        <v>54</v>
      </c>
      <c r="E159">
        <v>1400</v>
      </c>
      <c r="F159" t="s">
        <v>364</v>
      </c>
      <c r="G159" t="s">
        <v>197</v>
      </c>
      <c r="H159" t="s">
        <v>178</v>
      </c>
      <c r="I159" s="1">
        <v>1120000</v>
      </c>
      <c r="J159">
        <v>1</v>
      </c>
      <c r="K159" s="7">
        <f>Таблица1[[#This Row],[Штуки]]/SUMIFS(Таблица1[Штуки],Таблица1[Ветка],Таблица1[[#This Row],[Ветка]],Таблица1[Месяц],Таблица1[[#This Row],[Месяц]])</f>
        <v>1</v>
      </c>
      <c r="L159" s="1">
        <v>1108000</v>
      </c>
      <c r="M159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1</v>
      </c>
      <c r="N159" t="s">
        <v>23</v>
      </c>
      <c r="O159">
        <v>1</v>
      </c>
      <c r="P159">
        <v>4.33</v>
      </c>
      <c r="Q159">
        <v>5</v>
      </c>
      <c r="R159" t="s">
        <v>344</v>
      </c>
      <c r="S159">
        <v>160</v>
      </c>
      <c r="T159">
        <v>198</v>
      </c>
      <c r="U159">
        <v>72.5</v>
      </c>
      <c r="V159">
        <v>0</v>
      </c>
      <c r="W159">
        <v>-18</v>
      </c>
    </row>
    <row r="160" spans="1:23" x14ac:dyDescent="0.3">
      <c r="A160">
        <v>145169183</v>
      </c>
      <c r="B160" t="s">
        <v>343</v>
      </c>
      <c r="C160" t="s">
        <v>147</v>
      </c>
      <c r="D160" t="s">
        <v>148</v>
      </c>
      <c r="E160">
        <v>700</v>
      </c>
      <c r="F160" t="s">
        <v>357</v>
      </c>
      <c r="G160" t="s">
        <v>179</v>
      </c>
      <c r="H160" t="s">
        <v>178</v>
      </c>
      <c r="I160" s="1">
        <v>309900</v>
      </c>
      <c r="J160">
        <v>3</v>
      </c>
      <c r="K160" s="7">
        <f>Таблица1[[#This Row],[Штуки]]/SUMIFS(Таблица1[Штуки],Таблица1[Ветка],Таблица1[[#This Row],[Ветка]],Таблица1[Месяц],Таблица1[[#This Row],[Месяц]])</f>
        <v>2.5862068965517241E-2</v>
      </c>
      <c r="L160" s="1">
        <v>959970</v>
      </c>
      <c r="M160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2.1307389473785143E-2</v>
      </c>
      <c r="N160" t="s">
        <v>23</v>
      </c>
      <c r="O160">
        <v>5</v>
      </c>
      <c r="P160">
        <v>5</v>
      </c>
      <c r="Q160">
        <v>2</v>
      </c>
      <c r="R160" t="s">
        <v>344</v>
      </c>
      <c r="S160">
        <v>203</v>
      </c>
      <c r="T160">
        <v>91</v>
      </c>
      <c r="U160">
        <v>76</v>
      </c>
      <c r="V160">
        <v>3</v>
      </c>
      <c r="W160">
        <v>-18</v>
      </c>
    </row>
    <row r="161" spans="1:23" x14ac:dyDescent="0.3">
      <c r="A161">
        <v>116443890</v>
      </c>
      <c r="B161" t="s">
        <v>346</v>
      </c>
      <c r="C161" t="s">
        <v>198</v>
      </c>
      <c r="D161" t="s">
        <v>77</v>
      </c>
      <c r="E161">
        <v>1200</v>
      </c>
      <c r="F161" t="s">
        <v>362</v>
      </c>
      <c r="G161" t="s">
        <v>179</v>
      </c>
      <c r="H161" t="s">
        <v>178</v>
      </c>
      <c r="I161" s="1">
        <v>955500</v>
      </c>
      <c r="J161">
        <v>1</v>
      </c>
      <c r="K161" s="7">
        <f>Таблица1[[#This Row],[Штуки]]/SUMIFS(Таблица1[Штуки],Таблица1[Ветка],Таблица1[[#This Row],[Ветка]],Таблица1[Месяц],Таблица1[[#This Row],[Месяц]])</f>
        <v>0.1</v>
      </c>
      <c r="L161" s="1">
        <v>955500</v>
      </c>
      <c r="M161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0.16067759363989151</v>
      </c>
      <c r="N161" t="s">
        <v>57</v>
      </c>
      <c r="O161">
        <v>1</v>
      </c>
      <c r="P161">
        <v>0</v>
      </c>
      <c r="Q161">
        <v>0</v>
      </c>
      <c r="R161" t="s">
        <v>342</v>
      </c>
      <c r="S161">
        <v>140</v>
      </c>
      <c r="T161">
        <v>215</v>
      </c>
      <c r="U161">
        <v>70</v>
      </c>
      <c r="V161">
        <v>0</v>
      </c>
      <c r="W161">
        <v>-18</v>
      </c>
    </row>
    <row r="162" spans="1:23" x14ac:dyDescent="0.3">
      <c r="A162">
        <v>110555379</v>
      </c>
      <c r="B162" t="s">
        <v>341</v>
      </c>
      <c r="C162" t="s">
        <v>86</v>
      </c>
      <c r="D162" t="s">
        <v>87</v>
      </c>
      <c r="E162">
        <v>800</v>
      </c>
      <c r="F162" t="s">
        <v>358</v>
      </c>
      <c r="G162" t="s">
        <v>199</v>
      </c>
      <c r="H162" t="s">
        <v>178</v>
      </c>
      <c r="I162" s="1">
        <v>530000</v>
      </c>
      <c r="J162">
        <v>2</v>
      </c>
      <c r="K162" s="7">
        <f>Таблица1[[#This Row],[Штуки]]/SUMIFS(Таблица1[Штуки],Таблица1[Ветка],Таблица1[[#This Row],[Ветка]],Таблица1[Месяц],Таблица1[[#This Row],[Месяц]])</f>
        <v>0.15384615384615385</v>
      </c>
      <c r="L162" s="1">
        <v>952000</v>
      </c>
      <c r="M162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0.17252321361454617</v>
      </c>
      <c r="N162" t="s">
        <v>23</v>
      </c>
      <c r="O162">
        <v>1</v>
      </c>
      <c r="P162">
        <v>4.8</v>
      </c>
      <c r="Q162">
        <v>41</v>
      </c>
      <c r="R162" t="s">
        <v>344</v>
      </c>
      <c r="S162">
        <v>200</v>
      </c>
      <c r="T162">
        <v>84</v>
      </c>
      <c r="U162">
        <v>60</v>
      </c>
      <c r="V162">
        <v>9</v>
      </c>
      <c r="W162">
        <v>-22</v>
      </c>
    </row>
    <row r="163" spans="1:23" x14ac:dyDescent="0.3">
      <c r="A163">
        <v>154652840</v>
      </c>
      <c r="B163" t="s">
        <v>343</v>
      </c>
      <c r="C163" t="s">
        <v>200</v>
      </c>
      <c r="D163" t="s">
        <v>38</v>
      </c>
      <c r="E163">
        <v>560</v>
      </c>
      <c r="F163" t="s">
        <v>355</v>
      </c>
      <c r="G163" t="s">
        <v>185</v>
      </c>
      <c r="H163" t="s">
        <v>178</v>
      </c>
      <c r="I163" s="1">
        <v>258990</v>
      </c>
      <c r="J163">
        <v>4</v>
      </c>
      <c r="K163" s="7">
        <f>Таблица1[[#This Row],[Штуки]]/SUMIFS(Таблица1[Штуки],Таблица1[Ветка],Таблица1[[#This Row],[Ветка]],Таблица1[Месяц],Таблица1[[#This Row],[Месяц]])</f>
        <v>3.2786885245901641E-2</v>
      </c>
      <c r="L163" s="1">
        <v>931837</v>
      </c>
      <c r="M163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2.7462821081284276E-2</v>
      </c>
      <c r="N163" t="s">
        <v>57</v>
      </c>
      <c r="O163">
        <v>1</v>
      </c>
      <c r="P163">
        <v>4</v>
      </c>
      <c r="Q163">
        <v>1</v>
      </c>
      <c r="R163" t="s">
        <v>344</v>
      </c>
      <c r="S163">
        <v>160</v>
      </c>
      <c r="T163">
        <v>84</v>
      </c>
      <c r="U163">
        <v>67.400000000000006</v>
      </c>
      <c r="V163">
        <v>2</v>
      </c>
      <c r="W163">
        <v>-24</v>
      </c>
    </row>
    <row r="164" spans="1:23" x14ac:dyDescent="0.3">
      <c r="A164">
        <v>104045575</v>
      </c>
      <c r="B164" t="s">
        <v>341</v>
      </c>
      <c r="C164" t="s">
        <v>201</v>
      </c>
      <c r="D164" t="s">
        <v>87</v>
      </c>
      <c r="E164">
        <v>999</v>
      </c>
      <c r="F164" t="s">
        <v>359</v>
      </c>
      <c r="G164" t="s">
        <v>179</v>
      </c>
      <c r="H164" t="s">
        <v>178</v>
      </c>
      <c r="I164" s="1">
        <v>950000</v>
      </c>
      <c r="J164">
        <v>1</v>
      </c>
      <c r="K164" s="7">
        <f>Таблица1[[#This Row],[Штуки]]/SUMIFS(Таблица1[Штуки],Таблица1[Ветка],Таблица1[[#This Row],[Ветка]],Таблица1[Месяц],Таблица1[[#This Row],[Месяц]])</f>
        <v>0.5</v>
      </c>
      <c r="L164" s="1">
        <v>928200</v>
      </c>
      <c r="M164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0.64093799846705202</v>
      </c>
      <c r="N164" t="s">
        <v>57</v>
      </c>
      <c r="O164">
        <v>1</v>
      </c>
      <c r="P164">
        <v>4.7</v>
      </c>
      <c r="Q164">
        <v>7</v>
      </c>
      <c r="R164" t="s">
        <v>344</v>
      </c>
      <c r="S164">
        <v>250</v>
      </c>
      <c r="T164">
        <v>75</v>
      </c>
      <c r="U164">
        <v>87</v>
      </c>
      <c r="V164">
        <v>12</v>
      </c>
      <c r="W164">
        <v>-25</v>
      </c>
    </row>
    <row r="165" spans="1:23" x14ac:dyDescent="0.3">
      <c r="A165">
        <v>157686240</v>
      </c>
      <c r="B165" t="s">
        <v>343</v>
      </c>
      <c r="C165" t="s">
        <v>202</v>
      </c>
      <c r="D165" t="s">
        <v>203</v>
      </c>
      <c r="E165">
        <v>850</v>
      </c>
      <c r="F165" t="s">
        <v>358</v>
      </c>
      <c r="G165" t="s">
        <v>204</v>
      </c>
      <c r="H165" t="s">
        <v>178</v>
      </c>
      <c r="I165" s="1">
        <v>383965</v>
      </c>
      <c r="J165">
        <v>2</v>
      </c>
      <c r="K165" s="7">
        <f>Таблица1[[#This Row],[Штуки]]/SUMIFS(Таблица1[Штуки],Таблица1[Ветка],Таблица1[[#This Row],[Ветка]],Таблица1[Месяц],Таблица1[[#This Row],[Месяц]])</f>
        <v>0.15384615384615385</v>
      </c>
      <c r="L165" s="1">
        <v>921832</v>
      </c>
      <c r="M165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0.16705611245034069</v>
      </c>
      <c r="N165" t="s">
        <v>57</v>
      </c>
      <c r="O165">
        <v>2</v>
      </c>
      <c r="P165">
        <v>5</v>
      </c>
      <c r="Q165">
        <v>0</v>
      </c>
      <c r="R165" t="s">
        <v>344</v>
      </c>
      <c r="S165">
        <v>200</v>
      </c>
      <c r="T165">
        <v>87</v>
      </c>
      <c r="U165">
        <v>85.5</v>
      </c>
      <c r="V165">
        <v>3</v>
      </c>
      <c r="W165">
        <v>-18</v>
      </c>
    </row>
    <row r="166" spans="1:23" x14ac:dyDescent="0.3">
      <c r="A166">
        <v>142526631</v>
      </c>
      <c r="B166" t="s">
        <v>341</v>
      </c>
      <c r="C166" t="s">
        <v>128</v>
      </c>
      <c r="D166" t="s">
        <v>115</v>
      </c>
      <c r="E166">
        <v>700</v>
      </c>
      <c r="F166" t="s">
        <v>357</v>
      </c>
      <c r="G166" t="s">
        <v>180</v>
      </c>
      <c r="H166" t="s">
        <v>178</v>
      </c>
      <c r="I166" s="1">
        <v>374999</v>
      </c>
      <c r="J166">
        <v>2</v>
      </c>
      <c r="K166" s="7">
        <f>Таблица1[[#This Row],[Штуки]]/SUMIFS(Таблица1[Штуки],Таблица1[Ветка],Таблица1[[#This Row],[Ветка]],Таблица1[Месяц],Таблица1[[#This Row],[Месяц]])</f>
        <v>1.7241379310344827E-2</v>
      </c>
      <c r="L166" s="1">
        <v>899853</v>
      </c>
      <c r="M166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1.9973039095132122E-2</v>
      </c>
      <c r="N166" t="s">
        <v>23</v>
      </c>
      <c r="O166">
        <v>1</v>
      </c>
      <c r="P166">
        <v>5</v>
      </c>
      <c r="Q166">
        <v>2</v>
      </c>
      <c r="R166" t="s">
        <v>342</v>
      </c>
      <c r="S166">
        <v>200</v>
      </c>
      <c r="T166">
        <v>80</v>
      </c>
      <c r="U166">
        <v>76</v>
      </c>
      <c r="V166">
        <v>7</v>
      </c>
      <c r="W166">
        <v>-24</v>
      </c>
    </row>
    <row r="167" spans="1:23" x14ac:dyDescent="0.3">
      <c r="A167">
        <v>141407423</v>
      </c>
      <c r="B167" t="s">
        <v>343</v>
      </c>
      <c r="C167" t="s">
        <v>205</v>
      </c>
      <c r="D167" t="s">
        <v>50</v>
      </c>
      <c r="E167">
        <v>758</v>
      </c>
      <c r="F167" t="s">
        <v>357</v>
      </c>
      <c r="G167" t="s">
        <v>179</v>
      </c>
      <c r="H167" t="s">
        <v>178</v>
      </c>
      <c r="I167" s="1">
        <v>420994</v>
      </c>
      <c r="J167">
        <v>2</v>
      </c>
      <c r="K167" s="7">
        <f>Таблица1[[#This Row],[Штуки]]/SUMIFS(Таблица1[Штуки],Таблица1[Ветка],Таблица1[[#This Row],[Ветка]],Таблица1[Месяц],Таблица1[[#This Row],[Месяц]])</f>
        <v>1.7241379310344827E-2</v>
      </c>
      <c r="L167" s="1">
        <v>890634</v>
      </c>
      <c r="M167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1.976841517609421E-2</v>
      </c>
      <c r="N167" t="s">
        <v>57</v>
      </c>
      <c r="O167">
        <v>1</v>
      </c>
      <c r="P167">
        <v>5</v>
      </c>
      <c r="Q167">
        <v>2</v>
      </c>
      <c r="R167" t="s">
        <v>344</v>
      </c>
      <c r="S167">
        <v>195</v>
      </c>
      <c r="T167">
        <v>92</v>
      </c>
      <c r="U167">
        <v>79</v>
      </c>
      <c r="V167">
        <v>0</v>
      </c>
      <c r="W167">
        <v>-18</v>
      </c>
    </row>
    <row r="168" spans="1:23" x14ac:dyDescent="0.3">
      <c r="A168">
        <v>148912880</v>
      </c>
      <c r="B168" t="s">
        <v>343</v>
      </c>
      <c r="C168" t="s">
        <v>206</v>
      </c>
      <c r="D168" t="s">
        <v>148</v>
      </c>
      <c r="E168">
        <v>600</v>
      </c>
      <c r="F168" t="s">
        <v>356</v>
      </c>
      <c r="G168" t="s">
        <v>179</v>
      </c>
      <c r="H168" t="s">
        <v>178</v>
      </c>
      <c r="I168" s="1">
        <v>308990</v>
      </c>
      <c r="J168">
        <v>3</v>
      </c>
      <c r="K168" s="7">
        <f>Таблица1[[#This Row],[Штуки]]/SUMIFS(Таблица1[Штуки],Таблица1[Ветка],Таблица1[[#This Row],[Ветка]],Таблица1[Месяц],Таблица1[[#This Row],[Месяц]])</f>
        <v>3.5714285714285712E-2</v>
      </c>
      <c r="L168" s="1">
        <v>866239</v>
      </c>
      <c r="M168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3.5211138218103955E-2</v>
      </c>
      <c r="N168" t="s">
        <v>57</v>
      </c>
      <c r="O168">
        <v>2</v>
      </c>
      <c r="P168">
        <v>5</v>
      </c>
      <c r="Q168">
        <v>2</v>
      </c>
      <c r="R168" t="s">
        <v>344</v>
      </c>
      <c r="S168">
        <v>177.5</v>
      </c>
      <c r="T168">
        <v>91</v>
      </c>
      <c r="U168">
        <v>72.5</v>
      </c>
      <c r="V168">
        <v>3</v>
      </c>
      <c r="W168">
        <v>-18</v>
      </c>
    </row>
    <row r="169" spans="1:23" x14ac:dyDescent="0.3">
      <c r="A169">
        <v>132777674</v>
      </c>
      <c r="B169" t="s">
        <v>341</v>
      </c>
      <c r="C169" t="s">
        <v>122</v>
      </c>
      <c r="D169" t="s">
        <v>30</v>
      </c>
      <c r="E169">
        <v>647</v>
      </c>
      <c r="F169" t="s">
        <v>356</v>
      </c>
      <c r="G169" t="s">
        <v>188</v>
      </c>
      <c r="H169" t="s">
        <v>178</v>
      </c>
      <c r="I169" s="1">
        <v>429990</v>
      </c>
      <c r="J169">
        <v>2</v>
      </c>
      <c r="K169" s="7">
        <f>Таблица1[[#This Row],[Штуки]]/SUMIFS(Таблица1[Штуки],Таблица1[Ветка],Таблица1[[#This Row],[Ветка]],Таблица1[Месяц],Таблица1[[#This Row],[Месяц]])</f>
        <v>2.3809523809523808E-2</v>
      </c>
      <c r="L169" s="1">
        <v>861980</v>
      </c>
      <c r="M169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3.5038017130654756E-2</v>
      </c>
      <c r="N169" t="s">
        <v>23</v>
      </c>
      <c r="O169">
        <v>1</v>
      </c>
      <c r="P169">
        <v>5</v>
      </c>
      <c r="Q169">
        <v>2</v>
      </c>
      <c r="R169" t="s">
        <v>342</v>
      </c>
      <c r="S169">
        <v>182</v>
      </c>
      <c r="T169">
        <v>82.2</v>
      </c>
      <c r="U169">
        <v>82.2</v>
      </c>
      <c r="V169">
        <v>6</v>
      </c>
      <c r="W169">
        <v>-25</v>
      </c>
    </row>
    <row r="170" spans="1:23" x14ac:dyDescent="0.3">
      <c r="A170">
        <v>148880716</v>
      </c>
      <c r="B170" t="s">
        <v>341</v>
      </c>
      <c r="C170" t="s">
        <v>125</v>
      </c>
      <c r="D170" t="s">
        <v>84</v>
      </c>
      <c r="E170">
        <v>725</v>
      </c>
      <c r="F170" t="s">
        <v>357</v>
      </c>
      <c r="G170" t="s">
        <v>180</v>
      </c>
      <c r="H170" t="s">
        <v>178</v>
      </c>
      <c r="I170" s="1">
        <v>420000</v>
      </c>
      <c r="J170">
        <v>2</v>
      </c>
      <c r="K170" s="7">
        <f>Таблица1[[#This Row],[Штуки]]/SUMIFS(Таблица1[Штуки],Таблица1[Ветка],Таблица1[[#This Row],[Ветка]],Таблица1[Месяц],Таблица1[[#This Row],[Месяц]])</f>
        <v>1.7241379310344827E-2</v>
      </c>
      <c r="L170" s="1">
        <v>840000</v>
      </c>
      <c r="M170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1.8644548431700492E-2</v>
      </c>
      <c r="N170" t="s">
        <v>57</v>
      </c>
      <c r="O170">
        <v>1</v>
      </c>
      <c r="P170">
        <v>0</v>
      </c>
      <c r="Q170">
        <v>0</v>
      </c>
      <c r="R170" t="s">
        <v>342</v>
      </c>
      <c r="S170">
        <v>200</v>
      </c>
      <c r="T170">
        <v>85</v>
      </c>
      <c r="U170">
        <v>75</v>
      </c>
      <c r="V170">
        <v>6</v>
      </c>
      <c r="W170">
        <v>-22</v>
      </c>
    </row>
    <row r="171" spans="1:23" x14ac:dyDescent="0.3">
      <c r="A171">
        <v>143080837</v>
      </c>
      <c r="B171" t="s">
        <v>343</v>
      </c>
      <c r="C171" t="s">
        <v>207</v>
      </c>
      <c r="D171" t="s">
        <v>30</v>
      </c>
      <c r="E171">
        <v>1800</v>
      </c>
      <c r="F171" t="s">
        <v>367</v>
      </c>
      <c r="G171" t="s">
        <v>179</v>
      </c>
      <c r="H171" t="s">
        <v>178</v>
      </c>
      <c r="I171" s="1">
        <v>839000</v>
      </c>
      <c r="J171">
        <v>1</v>
      </c>
      <c r="K171" s="7">
        <f>Таблица1[[#This Row],[Штуки]]/SUMIFS(Таблица1[Штуки],Таблица1[Ветка],Таблица1[[#This Row],[Ветка]],Таблица1[Месяц],Таблица1[[#This Row],[Месяц]])</f>
        <v>1</v>
      </c>
      <c r="L171" s="1">
        <v>839000</v>
      </c>
      <c r="M171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1</v>
      </c>
      <c r="N171" t="s">
        <v>57</v>
      </c>
      <c r="O171">
        <v>1</v>
      </c>
      <c r="P171">
        <v>5</v>
      </c>
      <c r="Q171">
        <v>7</v>
      </c>
      <c r="R171" t="s">
        <v>344</v>
      </c>
      <c r="S171">
        <v>380.8</v>
      </c>
      <c r="T171">
        <v>93</v>
      </c>
      <c r="U171">
        <v>100</v>
      </c>
      <c r="V171">
        <v>0</v>
      </c>
      <c r="W171">
        <v>-35</v>
      </c>
    </row>
    <row r="172" spans="1:23" x14ac:dyDescent="0.3">
      <c r="A172">
        <v>140700154</v>
      </c>
      <c r="B172" t="s">
        <v>341</v>
      </c>
      <c r="C172" t="s">
        <v>208</v>
      </c>
      <c r="D172" t="s">
        <v>165</v>
      </c>
      <c r="E172">
        <v>338</v>
      </c>
      <c r="F172" t="s">
        <v>353</v>
      </c>
      <c r="G172" t="s">
        <v>180</v>
      </c>
      <c r="H172" t="s">
        <v>178</v>
      </c>
      <c r="I172" s="1">
        <v>199000</v>
      </c>
      <c r="J172">
        <v>4</v>
      </c>
      <c r="K172" s="7">
        <f>Таблица1[[#This Row],[Штуки]]/SUMIFS(Таблица1[Штуки],Таблица1[Ветка],Таблица1[[#This Row],[Ветка]],Таблица1[Месяц],Таблица1[[#This Row],[Месяц]])</f>
        <v>4.6511627906976744E-2</v>
      </c>
      <c r="L172" s="1">
        <v>832565</v>
      </c>
      <c r="M172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4.6210119686799216E-2</v>
      </c>
      <c r="N172" t="s">
        <v>23</v>
      </c>
      <c r="O172">
        <v>4</v>
      </c>
      <c r="P172">
        <v>5</v>
      </c>
      <c r="Q172">
        <v>19</v>
      </c>
      <c r="R172" t="s">
        <v>344</v>
      </c>
      <c r="S172">
        <v>130</v>
      </c>
      <c r="T172">
        <v>86</v>
      </c>
      <c r="U172">
        <v>65</v>
      </c>
      <c r="V172">
        <v>5</v>
      </c>
      <c r="W172">
        <v>-25</v>
      </c>
    </row>
    <row r="173" spans="1:23" x14ac:dyDescent="0.3">
      <c r="A173">
        <v>154651758</v>
      </c>
      <c r="B173" t="s">
        <v>343</v>
      </c>
      <c r="C173" t="s">
        <v>209</v>
      </c>
      <c r="D173" t="s">
        <v>38</v>
      </c>
      <c r="E173">
        <v>660</v>
      </c>
      <c r="F173" t="s">
        <v>356</v>
      </c>
      <c r="G173" t="s">
        <v>185</v>
      </c>
      <c r="H173" t="s">
        <v>178</v>
      </c>
      <c r="I173" s="1">
        <v>263990</v>
      </c>
      <c r="J173">
        <v>3</v>
      </c>
      <c r="K173" s="7">
        <f>Таблица1[[#This Row],[Штуки]]/SUMIFS(Таблица1[Штуки],Таблица1[Ветка],Таблица1[[#This Row],[Ветка]],Таблица1[Месяц],Таблица1[[#This Row],[Месяц]])</f>
        <v>3.5714285714285712E-2</v>
      </c>
      <c r="L173" s="1">
        <v>828214</v>
      </c>
      <c r="M173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3.3665486809262513E-2</v>
      </c>
      <c r="N173" t="s">
        <v>57</v>
      </c>
      <c r="O173">
        <v>1</v>
      </c>
      <c r="P173">
        <v>5</v>
      </c>
      <c r="Q173">
        <v>1</v>
      </c>
      <c r="R173" t="s">
        <v>344</v>
      </c>
      <c r="S173">
        <v>180</v>
      </c>
      <c r="T173">
        <v>84</v>
      </c>
      <c r="U173">
        <v>67.400000000000006</v>
      </c>
      <c r="V173">
        <v>2</v>
      </c>
      <c r="W173">
        <v>-24</v>
      </c>
    </row>
    <row r="174" spans="1:23" x14ac:dyDescent="0.3">
      <c r="A174">
        <v>120309401</v>
      </c>
      <c r="B174" t="s">
        <v>343</v>
      </c>
      <c r="C174" t="s">
        <v>79</v>
      </c>
      <c r="D174" t="s">
        <v>30</v>
      </c>
      <c r="E174">
        <v>550</v>
      </c>
      <c r="F174" t="s">
        <v>355</v>
      </c>
      <c r="G174" t="s">
        <v>179</v>
      </c>
      <c r="H174" t="s">
        <v>178</v>
      </c>
      <c r="I174" s="1">
        <v>274990</v>
      </c>
      <c r="J174">
        <v>3</v>
      </c>
      <c r="K174" s="7">
        <f>Таблица1[[#This Row],[Штуки]]/SUMIFS(Таблица1[Штуки],Таблица1[Ветка],Таблица1[[#This Row],[Ветка]],Таблица1[Месяц],Таблица1[[#This Row],[Месяц]])</f>
        <v>2.4590163934426229E-2</v>
      </c>
      <c r="L174" s="1">
        <v>824970</v>
      </c>
      <c r="M174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2.431326885219957E-2</v>
      </c>
      <c r="N174" t="s">
        <v>23</v>
      </c>
      <c r="O174">
        <v>3</v>
      </c>
      <c r="P174">
        <v>5</v>
      </c>
      <c r="Q174">
        <v>50</v>
      </c>
      <c r="R174" t="s">
        <v>344</v>
      </c>
      <c r="S174">
        <v>165</v>
      </c>
      <c r="T174">
        <v>83.5</v>
      </c>
      <c r="U174">
        <v>73</v>
      </c>
      <c r="V174">
        <v>2</v>
      </c>
      <c r="W174">
        <v>-18</v>
      </c>
    </row>
    <row r="175" spans="1:23" x14ac:dyDescent="0.3">
      <c r="A175">
        <v>121205888</v>
      </c>
      <c r="B175" t="s">
        <v>346</v>
      </c>
      <c r="C175" t="s">
        <v>129</v>
      </c>
      <c r="D175" t="s">
        <v>130</v>
      </c>
      <c r="E175">
        <v>800</v>
      </c>
      <c r="F175" t="s">
        <v>358</v>
      </c>
      <c r="G175" t="s">
        <v>185</v>
      </c>
      <c r="H175" t="s">
        <v>178</v>
      </c>
      <c r="I175" s="1">
        <v>391900</v>
      </c>
      <c r="J175">
        <v>2</v>
      </c>
      <c r="K175" s="7">
        <f>Таблица1[[#This Row],[Штуки]]/SUMIFS(Таблица1[Штуки],Таблица1[Ветка],Таблица1[[#This Row],[Ветка]],Таблица1[Месяц],Таблица1[[#This Row],[Месяц]])</f>
        <v>0.15384615384615385</v>
      </c>
      <c r="L175" s="1">
        <v>783800</v>
      </c>
      <c r="M175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0.1420416962511358</v>
      </c>
      <c r="N175" t="s">
        <v>57</v>
      </c>
      <c r="O175">
        <v>1</v>
      </c>
      <c r="P175">
        <v>5</v>
      </c>
      <c r="Q175">
        <v>2</v>
      </c>
      <c r="R175" t="s">
        <v>342</v>
      </c>
      <c r="S175">
        <v>60</v>
      </c>
      <c r="T175">
        <v>196</v>
      </c>
      <c r="U175">
        <v>76</v>
      </c>
      <c r="V175">
        <v>0</v>
      </c>
      <c r="W175">
        <v>-14</v>
      </c>
    </row>
    <row r="176" spans="1:23" x14ac:dyDescent="0.3">
      <c r="A176">
        <v>102055246</v>
      </c>
      <c r="B176" t="s">
        <v>346</v>
      </c>
      <c r="C176" t="s">
        <v>61</v>
      </c>
      <c r="D176" t="s">
        <v>62</v>
      </c>
      <c r="E176">
        <v>700</v>
      </c>
      <c r="F176" t="s">
        <v>357</v>
      </c>
      <c r="G176" t="s">
        <v>179</v>
      </c>
      <c r="H176" t="s">
        <v>178</v>
      </c>
      <c r="I176" s="1">
        <v>632820</v>
      </c>
      <c r="J176">
        <v>1</v>
      </c>
      <c r="K176" s="7">
        <f>Таблица1[[#This Row],[Штуки]]/SUMIFS(Таблица1[Штуки],Таблица1[Ветка],Таблица1[[#This Row],[Ветка]],Таблица1[Месяц],Таблица1[[#This Row],[Месяц]])</f>
        <v>8.6206896551724137E-3</v>
      </c>
      <c r="L176" s="1">
        <v>773800</v>
      </c>
      <c r="M176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1.7175180448154571E-2</v>
      </c>
      <c r="N176" t="s">
        <v>23</v>
      </c>
      <c r="O176">
        <v>3</v>
      </c>
      <c r="P176">
        <v>5</v>
      </c>
      <c r="Q176">
        <v>5</v>
      </c>
      <c r="R176" t="s">
        <v>344</v>
      </c>
      <c r="S176">
        <v>73</v>
      </c>
      <c r="T176">
        <v>199</v>
      </c>
      <c r="U176">
        <v>96</v>
      </c>
      <c r="V176">
        <v>0</v>
      </c>
      <c r="W176">
        <v>-18</v>
      </c>
    </row>
    <row r="177" spans="1:23" x14ac:dyDescent="0.3">
      <c r="A177">
        <v>140308862</v>
      </c>
      <c r="B177" t="s">
        <v>341</v>
      </c>
      <c r="C177" t="s">
        <v>166</v>
      </c>
      <c r="D177" t="s">
        <v>91</v>
      </c>
      <c r="E177">
        <v>420</v>
      </c>
      <c r="F177" t="s">
        <v>354</v>
      </c>
      <c r="G177" t="s">
        <v>179</v>
      </c>
      <c r="H177" t="s">
        <v>178</v>
      </c>
      <c r="I177" s="1">
        <v>236980</v>
      </c>
      <c r="J177">
        <v>3</v>
      </c>
      <c r="K177" s="7">
        <f>Таблица1[[#This Row],[Штуки]]/SUMIFS(Таблица1[Штуки],Таблица1[Ветка],Таблица1[[#This Row],[Ветка]],Таблица1[Месяц],Таблица1[[#This Row],[Месяц]])</f>
        <v>8.5714285714285715E-2</v>
      </c>
      <c r="L177" s="1">
        <v>732235</v>
      </c>
      <c r="M177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8.5449274591107072E-2</v>
      </c>
      <c r="N177" t="s">
        <v>57</v>
      </c>
      <c r="O177">
        <v>5</v>
      </c>
      <c r="P177">
        <v>5</v>
      </c>
      <c r="Q177">
        <v>8</v>
      </c>
      <c r="R177" t="s">
        <v>342</v>
      </c>
      <c r="S177">
        <v>131</v>
      </c>
      <c r="T177">
        <v>83</v>
      </c>
      <c r="U177">
        <v>69</v>
      </c>
      <c r="V177">
        <v>6</v>
      </c>
      <c r="W177">
        <v>-18</v>
      </c>
    </row>
    <row r="178" spans="1:23" x14ac:dyDescent="0.3">
      <c r="A178">
        <v>132115831</v>
      </c>
      <c r="B178" t="s">
        <v>341</v>
      </c>
      <c r="C178" t="s">
        <v>121</v>
      </c>
      <c r="D178" t="s">
        <v>30</v>
      </c>
      <c r="E178">
        <v>328</v>
      </c>
      <c r="F178" t="s">
        <v>353</v>
      </c>
      <c r="G178" t="s">
        <v>188</v>
      </c>
      <c r="H178" t="s">
        <v>178</v>
      </c>
      <c r="I178" s="1">
        <v>229975</v>
      </c>
      <c r="J178">
        <v>3</v>
      </c>
      <c r="K178" s="7">
        <f>Таблица1[[#This Row],[Штуки]]/SUMIFS(Таблица1[Штуки],Таблица1[Ветка],Таблица1[[#This Row],[Ветка]],Таблица1[Месяц],Таблица1[[#This Row],[Месяц]])</f>
        <v>3.4883720930232558E-2</v>
      </c>
      <c r="L178" s="1">
        <v>719124</v>
      </c>
      <c r="M178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3.9913767825514888E-2</v>
      </c>
      <c r="N178" t="s">
        <v>23</v>
      </c>
      <c r="O178">
        <v>4</v>
      </c>
      <c r="P178">
        <v>5</v>
      </c>
      <c r="Q178">
        <v>40</v>
      </c>
      <c r="R178" t="s">
        <v>344</v>
      </c>
      <c r="S178">
        <v>129</v>
      </c>
      <c r="T178">
        <v>84.1</v>
      </c>
      <c r="U178">
        <v>66</v>
      </c>
      <c r="V178">
        <v>4</v>
      </c>
      <c r="W178">
        <v>-18</v>
      </c>
    </row>
    <row r="179" spans="1:23" x14ac:dyDescent="0.3">
      <c r="A179">
        <v>153336154</v>
      </c>
      <c r="B179" t="s">
        <v>343</v>
      </c>
      <c r="C179" t="s">
        <v>170</v>
      </c>
      <c r="D179" t="s">
        <v>104</v>
      </c>
      <c r="E179">
        <v>550</v>
      </c>
      <c r="F179" t="s">
        <v>355</v>
      </c>
      <c r="G179" t="s">
        <v>179</v>
      </c>
      <c r="H179" t="s">
        <v>178</v>
      </c>
      <c r="I179" s="1">
        <v>249990</v>
      </c>
      <c r="J179">
        <v>3</v>
      </c>
      <c r="K179" s="7">
        <f>Таблица1[[#This Row],[Штуки]]/SUMIFS(Таблица1[Штуки],Таблица1[Ветка],Таблица1[[#This Row],[Ветка]],Таблица1[Месяц],Таблица1[[#This Row],[Месяц]])</f>
        <v>2.4590163934426229E-2</v>
      </c>
      <c r="L179" s="1">
        <v>711852</v>
      </c>
      <c r="M179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2.0979489022601994E-2</v>
      </c>
      <c r="N179" t="s">
        <v>57</v>
      </c>
      <c r="O179">
        <v>1</v>
      </c>
      <c r="P179">
        <v>5</v>
      </c>
      <c r="Q179">
        <v>2</v>
      </c>
      <c r="R179" t="s">
        <v>342</v>
      </c>
      <c r="S179">
        <v>153.5</v>
      </c>
      <c r="T179">
        <v>82.5</v>
      </c>
      <c r="U179">
        <v>74</v>
      </c>
      <c r="V179">
        <v>0</v>
      </c>
      <c r="W179">
        <v>-18</v>
      </c>
    </row>
    <row r="180" spans="1:23" x14ac:dyDescent="0.3">
      <c r="A180">
        <v>143838104</v>
      </c>
      <c r="B180" t="s">
        <v>341</v>
      </c>
      <c r="C180" t="s">
        <v>39</v>
      </c>
      <c r="D180" t="s">
        <v>35</v>
      </c>
      <c r="E180">
        <v>205</v>
      </c>
      <c r="F180" t="s">
        <v>352</v>
      </c>
      <c r="G180" t="s">
        <v>179</v>
      </c>
      <c r="H180" t="s">
        <v>178</v>
      </c>
      <c r="I180" s="1">
        <v>137400</v>
      </c>
      <c r="J180">
        <v>5</v>
      </c>
      <c r="K180" s="7">
        <f>Таблица1[[#This Row],[Штуки]]/SUMIFS(Таблица1[Штуки],Таблица1[Ветка],Таблица1[[#This Row],[Ветка]],Таблица1[Месяц],Таблица1[[#This Row],[Месяц]])</f>
        <v>6.4102564102564097E-2</v>
      </c>
      <c r="L180" s="1">
        <v>697210</v>
      </c>
      <c r="M180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5.103239947284844E-2</v>
      </c>
      <c r="N180" t="s">
        <v>23</v>
      </c>
      <c r="O180">
        <v>1</v>
      </c>
      <c r="P180">
        <v>4.9000000000000004</v>
      </c>
      <c r="Q180">
        <v>22</v>
      </c>
      <c r="R180" t="s">
        <v>344</v>
      </c>
      <c r="S180">
        <v>100</v>
      </c>
      <c r="T180">
        <v>77</v>
      </c>
      <c r="U180">
        <v>50</v>
      </c>
      <c r="V180">
        <v>4</v>
      </c>
      <c r="W180">
        <v>-18</v>
      </c>
    </row>
    <row r="181" spans="1:23" x14ac:dyDescent="0.3">
      <c r="A181">
        <v>117689613</v>
      </c>
      <c r="B181" t="s">
        <v>341</v>
      </c>
      <c r="C181" t="s">
        <v>163</v>
      </c>
      <c r="D181" t="s">
        <v>25</v>
      </c>
      <c r="E181">
        <v>320</v>
      </c>
      <c r="F181" t="s">
        <v>353</v>
      </c>
      <c r="G181" t="s">
        <v>179</v>
      </c>
      <c r="H181" t="s">
        <v>178</v>
      </c>
      <c r="I181" s="1">
        <v>236266</v>
      </c>
      <c r="J181">
        <v>3</v>
      </c>
      <c r="K181" s="7">
        <f>Таблица1[[#This Row],[Штуки]]/SUMIFS(Таблица1[Штуки],Таблица1[Ветка],Таблица1[[#This Row],[Ветка]],Таблица1[Месяц],Таблица1[[#This Row],[Месяц]])</f>
        <v>3.4883720930232558E-2</v>
      </c>
      <c r="L181" s="1">
        <v>694650</v>
      </c>
      <c r="M181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3.8555379628539603E-2</v>
      </c>
      <c r="N181" t="s">
        <v>57</v>
      </c>
      <c r="O181">
        <v>7</v>
      </c>
      <c r="P181">
        <v>4.8</v>
      </c>
      <c r="Q181">
        <v>15</v>
      </c>
      <c r="R181" t="s">
        <v>344</v>
      </c>
      <c r="S181">
        <v>108.5</v>
      </c>
      <c r="T181">
        <v>88.5</v>
      </c>
      <c r="U181">
        <v>66.5</v>
      </c>
      <c r="V181">
        <v>4</v>
      </c>
      <c r="W181">
        <v>-25</v>
      </c>
    </row>
    <row r="182" spans="1:23" x14ac:dyDescent="0.3">
      <c r="A182">
        <v>143487775</v>
      </c>
      <c r="B182" t="s">
        <v>343</v>
      </c>
      <c r="C182" t="s">
        <v>210</v>
      </c>
      <c r="D182" t="s">
        <v>52</v>
      </c>
      <c r="E182">
        <v>1250</v>
      </c>
      <c r="F182" t="s">
        <v>362</v>
      </c>
      <c r="G182" t="s">
        <v>179</v>
      </c>
      <c r="H182" t="s">
        <v>178</v>
      </c>
      <c r="I182" s="1">
        <v>672200</v>
      </c>
      <c r="J182">
        <v>1</v>
      </c>
      <c r="K182" s="7">
        <f>Таблица1[[#This Row],[Штуки]]/SUMIFS(Таблица1[Штуки],Таблица1[Ветка],Таблица1[[#This Row],[Ветка]],Таблица1[Месяц],Таблица1[[#This Row],[Месяц]])</f>
        <v>0.1</v>
      </c>
      <c r="L182" s="1">
        <v>672200</v>
      </c>
      <c r="M182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0.11303765404995821</v>
      </c>
      <c r="N182" t="s">
        <v>57</v>
      </c>
      <c r="O182">
        <v>3</v>
      </c>
      <c r="P182">
        <v>5</v>
      </c>
      <c r="Q182">
        <v>0</v>
      </c>
      <c r="R182" t="s">
        <v>344</v>
      </c>
      <c r="S182">
        <v>250</v>
      </c>
      <c r="T182">
        <v>80</v>
      </c>
      <c r="U182">
        <v>90</v>
      </c>
      <c r="V182">
        <v>3</v>
      </c>
      <c r="W182">
        <v>-18</v>
      </c>
    </row>
    <row r="183" spans="1:23" x14ac:dyDescent="0.3">
      <c r="A183">
        <v>118327703</v>
      </c>
      <c r="B183" t="s">
        <v>341</v>
      </c>
      <c r="C183" t="s">
        <v>211</v>
      </c>
      <c r="D183" t="s">
        <v>71</v>
      </c>
      <c r="E183">
        <v>1000</v>
      </c>
      <c r="F183" t="s">
        <v>360</v>
      </c>
      <c r="G183" t="s">
        <v>180</v>
      </c>
      <c r="H183" t="s">
        <v>178</v>
      </c>
      <c r="I183" s="1">
        <v>671900</v>
      </c>
      <c r="J183">
        <v>1</v>
      </c>
      <c r="K183" s="7">
        <f>Таблица1[[#This Row],[Штуки]]/SUMIFS(Таблица1[Штуки],Таблица1[Ветка],Таблица1[[#This Row],[Ветка]],Таблица1[Месяц],Таблица1[[#This Row],[Месяц]])</f>
        <v>2.2222222222222223E-2</v>
      </c>
      <c r="L183" s="1">
        <v>671900</v>
      </c>
      <c r="M183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2.525903670327128E-2</v>
      </c>
      <c r="N183" t="s">
        <v>96</v>
      </c>
      <c r="O183">
        <v>2</v>
      </c>
      <c r="P183">
        <v>5</v>
      </c>
      <c r="Q183">
        <v>0</v>
      </c>
      <c r="R183" t="s">
        <v>345</v>
      </c>
      <c r="S183">
        <v>250</v>
      </c>
      <c r="T183">
        <v>85</v>
      </c>
      <c r="U183">
        <v>95</v>
      </c>
      <c r="V183">
        <v>0</v>
      </c>
      <c r="W183">
        <v>-18</v>
      </c>
    </row>
    <row r="184" spans="1:23" x14ac:dyDescent="0.3">
      <c r="A184">
        <v>110833716</v>
      </c>
      <c r="B184" t="s">
        <v>346</v>
      </c>
      <c r="C184" t="s">
        <v>108</v>
      </c>
      <c r="D184" t="s">
        <v>62</v>
      </c>
      <c r="E184">
        <v>500</v>
      </c>
      <c r="F184" t="s">
        <v>355</v>
      </c>
      <c r="G184" t="s">
        <v>179</v>
      </c>
      <c r="H184" t="s">
        <v>178</v>
      </c>
      <c r="I184" s="1">
        <v>571500</v>
      </c>
      <c r="J184">
        <v>1</v>
      </c>
      <c r="K184" s="7">
        <f>Таблица1[[#This Row],[Штуки]]/SUMIFS(Таблица1[Штуки],Таблица1[Ветка],Таблица1[[#This Row],[Ветка]],Таблица1[Месяц],Таблица1[[#This Row],[Месяц]])</f>
        <v>8.1967213114754103E-3</v>
      </c>
      <c r="L184" s="1">
        <v>666401</v>
      </c>
      <c r="M184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1.9639970758178655E-2</v>
      </c>
      <c r="N184" t="s">
        <v>23</v>
      </c>
      <c r="O184">
        <v>4</v>
      </c>
      <c r="P184">
        <v>5</v>
      </c>
      <c r="Q184">
        <v>3</v>
      </c>
      <c r="R184" t="s">
        <v>344</v>
      </c>
      <c r="S184">
        <v>69.7</v>
      </c>
      <c r="T184">
        <v>196</v>
      </c>
      <c r="U184">
        <v>69.5</v>
      </c>
      <c r="V184">
        <v>0</v>
      </c>
      <c r="W184">
        <v>-18</v>
      </c>
    </row>
    <row r="185" spans="1:23" x14ac:dyDescent="0.3">
      <c r="A185">
        <v>122939001</v>
      </c>
      <c r="B185" t="s">
        <v>341</v>
      </c>
      <c r="C185" t="s">
        <v>212</v>
      </c>
      <c r="D185" t="s">
        <v>25</v>
      </c>
      <c r="E185">
        <v>590</v>
      </c>
      <c r="F185" t="s">
        <v>355</v>
      </c>
      <c r="G185" t="s">
        <v>179</v>
      </c>
      <c r="H185" t="s">
        <v>178</v>
      </c>
      <c r="I185" s="1">
        <v>385998</v>
      </c>
      <c r="J185">
        <v>2</v>
      </c>
      <c r="K185" s="7">
        <f>Таблица1[[#This Row],[Штуки]]/SUMIFS(Таблица1[Штуки],Таблица1[Ветка],Таблица1[[#This Row],[Ветка]],Таблица1[Месяц],Таблица1[[#This Row],[Месяц]])</f>
        <v>1.6393442622950821E-2</v>
      </c>
      <c r="L185" s="1">
        <v>648237</v>
      </c>
      <c r="M185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1.9104646788299321E-2</v>
      </c>
      <c r="N185" t="s">
        <v>57</v>
      </c>
      <c r="O185">
        <v>2</v>
      </c>
      <c r="P185">
        <v>5</v>
      </c>
      <c r="Q185">
        <v>10</v>
      </c>
      <c r="R185" t="s">
        <v>344</v>
      </c>
      <c r="S185">
        <v>179</v>
      </c>
      <c r="T185">
        <v>88.5</v>
      </c>
      <c r="U185">
        <v>66.5</v>
      </c>
      <c r="V185">
        <v>5</v>
      </c>
      <c r="W185">
        <v>-25</v>
      </c>
    </row>
    <row r="186" spans="1:23" x14ac:dyDescent="0.3">
      <c r="A186">
        <v>121978785</v>
      </c>
      <c r="B186" t="s">
        <v>341</v>
      </c>
      <c r="C186" t="s">
        <v>97</v>
      </c>
      <c r="D186" t="s">
        <v>30</v>
      </c>
      <c r="E186">
        <v>1000</v>
      </c>
      <c r="F186" t="s">
        <v>360</v>
      </c>
      <c r="G186" t="s">
        <v>180</v>
      </c>
      <c r="H186" t="s">
        <v>178</v>
      </c>
      <c r="I186" s="1">
        <v>679990</v>
      </c>
      <c r="J186">
        <v>1</v>
      </c>
      <c r="K186" s="7">
        <f>Таблица1[[#This Row],[Штуки]]/SUMIFS(Таблица1[Штуки],Таблица1[Ветка],Таблица1[[#This Row],[Ветка]],Таблица1[Месяц],Таблица1[[#This Row],[Месяц]])</f>
        <v>2.2222222222222223E-2</v>
      </c>
      <c r="L186" s="1">
        <v>599990</v>
      </c>
      <c r="M186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2.2555691965464704E-2</v>
      </c>
      <c r="N186" t="s">
        <v>23</v>
      </c>
      <c r="O186">
        <v>2</v>
      </c>
      <c r="P186">
        <v>4.9000000000000004</v>
      </c>
      <c r="Q186">
        <v>47</v>
      </c>
      <c r="R186" t="s">
        <v>344</v>
      </c>
      <c r="S186">
        <v>254.5</v>
      </c>
      <c r="T186">
        <v>86</v>
      </c>
      <c r="U186">
        <v>89</v>
      </c>
      <c r="V186">
        <v>5</v>
      </c>
      <c r="W186">
        <v>0</v>
      </c>
    </row>
    <row r="187" spans="1:23" x14ac:dyDescent="0.3">
      <c r="A187">
        <v>141167073</v>
      </c>
      <c r="B187" t="s">
        <v>343</v>
      </c>
      <c r="C187" t="s">
        <v>106</v>
      </c>
      <c r="D187" t="s">
        <v>107</v>
      </c>
      <c r="E187">
        <v>502</v>
      </c>
      <c r="F187" t="s">
        <v>355</v>
      </c>
      <c r="G187" t="s">
        <v>179</v>
      </c>
      <c r="H187" t="s">
        <v>178</v>
      </c>
      <c r="I187" s="1">
        <v>309958</v>
      </c>
      <c r="J187">
        <v>2</v>
      </c>
      <c r="K187" s="7">
        <f>Таблица1[[#This Row],[Штуки]]/SUMIFS(Таблица1[Штуки],Таблица1[Ветка],Таблица1[[#This Row],[Ветка]],Таблица1[Месяц],Таблица1[[#This Row],[Месяц]])</f>
        <v>1.6393442622950821E-2</v>
      </c>
      <c r="L187" s="1">
        <v>599980</v>
      </c>
      <c r="M187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1.7682430931964432E-2</v>
      </c>
      <c r="N187" t="s">
        <v>57</v>
      </c>
      <c r="O187">
        <v>6</v>
      </c>
      <c r="P187">
        <v>4.8</v>
      </c>
      <c r="Q187">
        <v>11</v>
      </c>
      <c r="R187" t="s">
        <v>344</v>
      </c>
      <c r="S187">
        <v>155</v>
      </c>
      <c r="T187">
        <v>89</v>
      </c>
      <c r="U187">
        <v>77</v>
      </c>
      <c r="V187">
        <v>4</v>
      </c>
      <c r="W187">
        <v>0</v>
      </c>
    </row>
    <row r="188" spans="1:23" x14ac:dyDescent="0.3">
      <c r="A188">
        <v>129159431</v>
      </c>
      <c r="B188" t="s">
        <v>343</v>
      </c>
      <c r="C188" t="s">
        <v>213</v>
      </c>
      <c r="D188" t="s">
        <v>41</v>
      </c>
      <c r="E188">
        <v>1380</v>
      </c>
      <c r="F188" t="s">
        <v>363</v>
      </c>
      <c r="G188" t="s">
        <v>179</v>
      </c>
      <c r="H188" t="s">
        <v>178</v>
      </c>
      <c r="I188" s="1">
        <v>989000</v>
      </c>
      <c r="J188">
        <v>1</v>
      </c>
      <c r="K188" s="7">
        <f>Таблица1[[#This Row],[Штуки]]/SUMIFS(Таблица1[Штуки],Таблица1[Ветка],Таблица1[[#This Row],[Ветка]],Таблица1[Месяц],Таблица1[[#This Row],[Месяц]])</f>
        <v>0.33333333333333331</v>
      </c>
      <c r="L188" s="1">
        <v>592550</v>
      </c>
      <c r="M188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0.35811891324764988</v>
      </c>
      <c r="N188" t="s">
        <v>57</v>
      </c>
      <c r="O188">
        <v>1</v>
      </c>
      <c r="P188">
        <v>5</v>
      </c>
      <c r="Q188">
        <v>1</v>
      </c>
      <c r="R188" t="s">
        <v>342</v>
      </c>
      <c r="S188">
        <v>260</v>
      </c>
      <c r="T188">
        <v>88</v>
      </c>
      <c r="U188">
        <v>102</v>
      </c>
      <c r="V188">
        <v>0</v>
      </c>
      <c r="W188">
        <v>-18</v>
      </c>
    </row>
    <row r="189" spans="1:23" x14ac:dyDescent="0.3">
      <c r="A189">
        <v>140611569</v>
      </c>
      <c r="B189" t="s">
        <v>343</v>
      </c>
      <c r="C189" t="s">
        <v>105</v>
      </c>
      <c r="D189" t="s">
        <v>50</v>
      </c>
      <c r="E189">
        <v>1380</v>
      </c>
      <c r="F189" t="s">
        <v>363</v>
      </c>
      <c r="G189" t="s">
        <v>179</v>
      </c>
      <c r="H189" t="s">
        <v>178</v>
      </c>
      <c r="I189" s="1">
        <v>599988</v>
      </c>
      <c r="J189">
        <v>1</v>
      </c>
      <c r="K189" s="7">
        <f>Таблица1[[#This Row],[Штуки]]/SUMIFS(Таблица1[Штуки],Таблица1[Ветка],Таблица1[[#This Row],[Ветка]],Таблица1[Месяц],Таблица1[[#This Row],[Месяц]])</f>
        <v>0.33333333333333331</v>
      </c>
      <c r="L189" s="1">
        <v>589989</v>
      </c>
      <c r="M189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0.35657112396939961</v>
      </c>
      <c r="N189" t="s">
        <v>57</v>
      </c>
      <c r="O189">
        <v>2</v>
      </c>
      <c r="P189">
        <v>5</v>
      </c>
      <c r="Q189">
        <v>2</v>
      </c>
      <c r="R189" t="s">
        <v>344</v>
      </c>
      <c r="S189">
        <v>260</v>
      </c>
      <c r="T189">
        <v>93</v>
      </c>
      <c r="U189">
        <v>89</v>
      </c>
      <c r="V189">
        <v>0</v>
      </c>
      <c r="W189">
        <v>-18</v>
      </c>
    </row>
    <row r="190" spans="1:23" x14ac:dyDescent="0.3">
      <c r="A190">
        <v>114861132</v>
      </c>
      <c r="B190" t="s">
        <v>341</v>
      </c>
      <c r="C190" t="s">
        <v>214</v>
      </c>
      <c r="D190" t="s">
        <v>46</v>
      </c>
      <c r="E190">
        <v>513</v>
      </c>
      <c r="F190" t="s">
        <v>355</v>
      </c>
      <c r="G190" t="s">
        <v>179</v>
      </c>
      <c r="H190" t="s">
        <v>178</v>
      </c>
      <c r="I190" s="1">
        <v>349990</v>
      </c>
      <c r="J190">
        <v>2</v>
      </c>
      <c r="K190" s="7">
        <f>Таблица1[[#This Row],[Штуки]]/SUMIFS(Таблица1[Штуки],Таблица1[Ветка],Таблица1[[#This Row],[Ветка]],Таблица1[Месяц],Таблица1[[#This Row],[Месяц]])</f>
        <v>1.6393442622950821E-2</v>
      </c>
      <c r="L190" s="1">
        <v>578377</v>
      </c>
      <c r="M190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1.7045753783687442E-2</v>
      </c>
      <c r="N190" t="s">
        <v>96</v>
      </c>
      <c r="O190">
        <v>3</v>
      </c>
      <c r="P190">
        <v>5</v>
      </c>
      <c r="Q190">
        <v>2</v>
      </c>
      <c r="R190" t="s">
        <v>344</v>
      </c>
      <c r="S190">
        <v>155</v>
      </c>
      <c r="T190">
        <v>84.5</v>
      </c>
      <c r="U190">
        <v>65</v>
      </c>
      <c r="V190">
        <v>4</v>
      </c>
      <c r="W190">
        <v>-24</v>
      </c>
    </row>
    <row r="191" spans="1:23" x14ac:dyDescent="0.3">
      <c r="A191">
        <v>148807910</v>
      </c>
      <c r="B191" t="s">
        <v>341</v>
      </c>
      <c r="C191" t="s">
        <v>174</v>
      </c>
      <c r="D191" t="s">
        <v>74</v>
      </c>
      <c r="E191">
        <v>280</v>
      </c>
      <c r="F191" t="s">
        <v>352</v>
      </c>
      <c r="G191" t="s">
        <v>179</v>
      </c>
      <c r="H191" t="s">
        <v>178</v>
      </c>
      <c r="I191" s="1">
        <v>185990</v>
      </c>
      <c r="J191">
        <v>3</v>
      </c>
      <c r="K191" s="7">
        <f>Таблица1[[#This Row],[Штуки]]/SUMIFS(Таблица1[Штуки],Таблица1[Ветка],Таблица1[[#This Row],[Ветка]],Таблица1[Месяц],Таблица1[[#This Row],[Месяц]])</f>
        <v>3.8461538461538464E-2</v>
      </c>
      <c r="L191" s="1">
        <v>557969</v>
      </c>
      <c r="M191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4.0840631806006465E-2</v>
      </c>
      <c r="N191" t="s">
        <v>57</v>
      </c>
      <c r="O191">
        <v>2</v>
      </c>
      <c r="P191">
        <v>5</v>
      </c>
      <c r="Q191">
        <v>1</v>
      </c>
      <c r="R191" t="s">
        <v>342</v>
      </c>
      <c r="S191">
        <v>106.5</v>
      </c>
      <c r="T191">
        <v>89.6</v>
      </c>
      <c r="U191">
        <v>73.599999999999994</v>
      </c>
      <c r="V191">
        <v>3</v>
      </c>
      <c r="W191">
        <v>0</v>
      </c>
    </row>
    <row r="192" spans="1:23" x14ac:dyDescent="0.3">
      <c r="A192">
        <v>119095687</v>
      </c>
      <c r="B192" t="s">
        <v>346</v>
      </c>
      <c r="C192" t="s">
        <v>215</v>
      </c>
      <c r="D192" t="s">
        <v>216</v>
      </c>
      <c r="E192">
        <v>500</v>
      </c>
      <c r="F192" t="s">
        <v>355</v>
      </c>
      <c r="G192" t="s">
        <v>196</v>
      </c>
      <c r="H192" t="s">
        <v>178</v>
      </c>
      <c r="I192" s="1">
        <v>520000</v>
      </c>
      <c r="J192">
        <v>1</v>
      </c>
      <c r="K192" s="7">
        <f>Таблица1[[#This Row],[Штуки]]/SUMIFS(Таблица1[Штуки],Таблица1[Ветка],Таблица1[[#This Row],[Ветка]],Таблица1[Месяц],Таблица1[[#This Row],[Месяц]])</f>
        <v>8.1967213114754103E-3</v>
      </c>
      <c r="L192" s="1">
        <v>544280</v>
      </c>
      <c r="M192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1.60408572079896E-2</v>
      </c>
      <c r="N192" t="s">
        <v>96</v>
      </c>
      <c r="O192">
        <v>1</v>
      </c>
      <c r="P192">
        <v>4</v>
      </c>
      <c r="Q192">
        <v>1</v>
      </c>
      <c r="R192" t="s">
        <v>342</v>
      </c>
      <c r="S192">
        <v>140</v>
      </c>
      <c r="T192">
        <v>215</v>
      </c>
      <c r="U192">
        <v>70</v>
      </c>
      <c r="V192">
        <v>0</v>
      </c>
      <c r="W192">
        <v>-18</v>
      </c>
    </row>
    <row r="193" spans="1:23" x14ac:dyDescent="0.3">
      <c r="A193">
        <v>121978807</v>
      </c>
      <c r="B193" t="s">
        <v>341</v>
      </c>
      <c r="C193" t="s">
        <v>58</v>
      </c>
      <c r="D193" t="s">
        <v>30</v>
      </c>
      <c r="E193">
        <v>900</v>
      </c>
      <c r="F193" t="s">
        <v>359</v>
      </c>
      <c r="G193" t="s">
        <v>180</v>
      </c>
      <c r="H193" t="s">
        <v>178</v>
      </c>
      <c r="I193" s="1">
        <v>519085</v>
      </c>
      <c r="J193">
        <v>1</v>
      </c>
      <c r="K193" s="7">
        <f>Таблица1[[#This Row],[Штуки]]/SUMIFS(Таблица1[Штуки],Таблица1[Ветка],Таблица1[[#This Row],[Ветка]],Таблица1[Месяц],Таблица1[[#This Row],[Месяц]])</f>
        <v>0.5</v>
      </c>
      <c r="L193" s="1">
        <v>519990</v>
      </c>
      <c r="M193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0.35906200153294804</v>
      </c>
      <c r="N193" t="s">
        <v>23</v>
      </c>
      <c r="O193">
        <v>5</v>
      </c>
      <c r="P193">
        <v>4.8</v>
      </c>
      <c r="Q193">
        <v>13</v>
      </c>
      <c r="R193" t="s">
        <v>344</v>
      </c>
      <c r="S193">
        <v>214.5</v>
      </c>
      <c r="T193">
        <v>86</v>
      </c>
      <c r="U193">
        <v>89</v>
      </c>
      <c r="V193">
        <v>6</v>
      </c>
      <c r="W193">
        <v>-18</v>
      </c>
    </row>
    <row r="194" spans="1:23" x14ac:dyDescent="0.3">
      <c r="A194">
        <v>114858756</v>
      </c>
      <c r="B194" t="s">
        <v>346</v>
      </c>
      <c r="C194" t="s">
        <v>112</v>
      </c>
      <c r="D194" t="s">
        <v>46</v>
      </c>
      <c r="E194">
        <v>90</v>
      </c>
      <c r="F194" t="s">
        <v>350</v>
      </c>
      <c r="G194" t="s">
        <v>179</v>
      </c>
      <c r="H194" t="s">
        <v>178</v>
      </c>
      <c r="I194" s="1">
        <v>339990</v>
      </c>
      <c r="J194">
        <v>2</v>
      </c>
      <c r="K194" s="7">
        <f>Таблица1[[#This Row],[Штуки]]/SUMIFS(Таблица1[Штуки],Таблица1[Ветка],Таблица1[[#This Row],[Ветка]],Таблица1[Месяц],Таблица1[[#This Row],[Месяц]])</f>
        <v>0.66666666666666663</v>
      </c>
      <c r="L194" s="1">
        <v>479980</v>
      </c>
      <c r="M194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0.61149401857490482</v>
      </c>
      <c r="N194" t="s">
        <v>57</v>
      </c>
      <c r="O194">
        <v>2</v>
      </c>
      <c r="P194">
        <v>5</v>
      </c>
      <c r="Q194">
        <v>2</v>
      </c>
      <c r="R194" t="s">
        <v>344</v>
      </c>
      <c r="S194">
        <v>59.5</v>
      </c>
      <c r="T194">
        <v>82</v>
      </c>
      <c r="U194">
        <v>54.5</v>
      </c>
      <c r="V194">
        <v>0</v>
      </c>
      <c r="W194">
        <v>-24</v>
      </c>
    </row>
    <row r="195" spans="1:23" x14ac:dyDescent="0.3">
      <c r="A195">
        <v>155437333</v>
      </c>
      <c r="B195" t="s">
        <v>341</v>
      </c>
      <c r="C195" t="s">
        <v>217</v>
      </c>
      <c r="D195" t="s">
        <v>84</v>
      </c>
      <c r="E195">
        <v>800</v>
      </c>
      <c r="F195" t="s">
        <v>358</v>
      </c>
      <c r="G195" t="s">
        <v>218</v>
      </c>
      <c r="H195" t="s">
        <v>178</v>
      </c>
      <c r="I195" s="1">
        <v>420000</v>
      </c>
      <c r="J195">
        <v>1</v>
      </c>
      <c r="K195" s="7">
        <f>Таблица1[[#This Row],[Штуки]]/SUMIFS(Таблица1[Штуки],Таблица1[Ветка],Таблица1[[#This Row],[Ветка]],Таблица1[Месяц],Таблица1[[#This Row],[Месяц]])</f>
        <v>7.6923076923076927E-2</v>
      </c>
      <c r="L195" s="1">
        <v>477222</v>
      </c>
      <c r="M195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8.6483059923908562E-2</v>
      </c>
      <c r="N195" t="s">
        <v>57</v>
      </c>
      <c r="O195">
        <v>1</v>
      </c>
      <c r="P195">
        <v>0</v>
      </c>
      <c r="Q195">
        <v>0</v>
      </c>
      <c r="R195" t="s">
        <v>342</v>
      </c>
      <c r="S195">
        <v>200</v>
      </c>
      <c r="T195">
        <v>85</v>
      </c>
      <c r="U195">
        <v>80</v>
      </c>
      <c r="V195">
        <v>6</v>
      </c>
      <c r="W195">
        <v>-26</v>
      </c>
    </row>
    <row r="196" spans="1:23" x14ac:dyDescent="0.3">
      <c r="A196">
        <v>145145986</v>
      </c>
      <c r="B196" t="s">
        <v>343</v>
      </c>
      <c r="C196" t="s">
        <v>117</v>
      </c>
      <c r="D196" t="s">
        <v>30</v>
      </c>
      <c r="E196">
        <v>1380</v>
      </c>
      <c r="F196" t="s">
        <v>363</v>
      </c>
      <c r="G196" t="s">
        <v>179</v>
      </c>
      <c r="H196" t="s">
        <v>178</v>
      </c>
      <c r="I196" s="1">
        <v>529990</v>
      </c>
      <c r="J196">
        <v>1</v>
      </c>
      <c r="K196" s="7">
        <f>Таблица1[[#This Row],[Штуки]]/SUMIFS(Таблица1[Штуки],Таблица1[Ветка],Таблица1[[#This Row],[Ветка]],Таблица1[Месяц],Таблица1[[#This Row],[Месяц]])</f>
        <v>0.33333333333333331</v>
      </c>
      <c r="L196" s="1">
        <v>472079</v>
      </c>
      <c r="M196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0.28530996278295051</v>
      </c>
      <c r="N196" t="s">
        <v>57</v>
      </c>
      <c r="O196">
        <v>1</v>
      </c>
      <c r="P196">
        <v>4.7</v>
      </c>
      <c r="Q196">
        <v>2</v>
      </c>
      <c r="R196" t="s">
        <v>344</v>
      </c>
      <c r="S196">
        <v>260</v>
      </c>
      <c r="T196">
        <v>93.5</v>
      </c>
      <c r="U196">
        <v>100</v>
      </c>
      <c r="V196">
        <v>1</v>
      </c>
      <c r="W196">
        <v>-35</v>
      </c>
    </row>
    <row r="197" spans="1:23" x14ac:dyDescent="0.3">
      <c r="A197">
        <v>148807903</v>
      </c>
      <c r="B197" t="s">
        <v>343</v>
      </c>
      <c r="C197" t="s">
        <v>219</v>
      </c>
      <c r="D197" t="s">
        <v>74</v>
      </c>
      <c r="E197">
        <v>500</v>
      </c>
      <c r="F197" t="s">
        <v>355</v>
      </c>
      <c r="G197" t="s">
        <v>179</v>
      </c>
      <c r="H197" t="s">
        <v>178</v>
      </c>
      <c r="I197" s="1">
        <v>226490</v>
      </c>
      <c r="J197">
        <v>2</v>
      </c>
      <c r="K197" s="7">
        <f>Таблица1[[#This Row],[Штуки]]/SUMIFS(Таблица1[Штуки],Таблица1[Ветка],Таблица1[[#This Row],[Ветка]],Таблица1[Месяц],Таблица1[[#This Row],[Месяц]])</f>
        <v>1.6393442622950821E-2</v>
      </c>
      <c r="L197" s="1">
        <v>471952</v>
      </c>
      <c r="M197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1.3909228046272338E-2</v>
      </c>
      <c r="N197" t="s">
        <v>96</v>
      </c>
      <c r="O197">
        <v>2</v>
      </c>
      <c r="P197">
        <v>5</v>
      </c>
      <c r="Q197">
        <v>1</v>
      </c>
      <c r="R197" t="s">
        <v>342</v>
      </c>
      <c r="S197">
        <v>145.19999999999999</v>
      </c>
      <c r="T197">
        <v>88.5</v>
      </c>
      <c r="U197">
        <v>76</v>
      </c>
      <c r="V197">
        <v>0</v>
      </c>
      <c r="W197">
        <v>-17</v>
      </c>
    </row>
    <row r="198" spans="1:23" x14ac:dyDescent="0.3">
      <c r="A198">
        <v>100620937</v>
      </c>
      <c r="B198" t="s">
        <v>343</v>
      </c>
      <c r="C198" t="s">
        <v>220</v>
      </c>
      <c r="D198" t="s">
        <v>93</v>
      </c>
      <c r="E198">
        <v>1080</v>
      </c>
      <c r="F198" t="s">
        <v>360</v>
      </c>
      <c r="G198" t="s">
        <v>179</v>
      </c>
      <c r="H198" t="s">
        <v>178</v>
      </c>
      <c r="I198" s="1">
        <v>459600</v>
      </c>
      <c r="J198">
        <v>1</v>
      </c>
      <c r="K198" s="7">
        <f>Таблица1[[#This Row],[Штуки]]/SUMIFS(Таблица1[Штуки],Таблица1[Ветка],Таблица1[[#This Row],[Ветка]],Таблица1[Месяц],Таблица1[[#This Row],[Месяц]])</f>
        <v>2.2222222222222223E-2</v>
      </c>
      <c r="L198" s="1">
        <v>459990</v>
      </c>
      <c r="M198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1.7292609455481108E-2</v>
      </c>
      <c r="N198" t="s">
        <v>57</v>
      </c>
      <c r="O198">
        <v>3</v>
      </c>
      <c r="P198">
        <v>4.8</v>
      </c>
      <c r="Q198">
        <v>3</v>
      </c>
      <c r="R198" t="s">
        <v>344</v>
      </c>
      <c r="S198">
        <v>197</v>
      </c>
      <c r="T198">
        <v>94.2</v>
      </c>
      <c r="U198">
        <v>104</v>
      </c>
      <c r="V198">
        <v>2</v>
      </c>
      <c r="W198">
        <v>-18</v>
      </c>
    </row>
    <row r="199" spans="1:23" x14ac:dyDescent="0.3">
      <c r="A199">
        <v>114890200</v>
      </c>
      <c r="B199" t="s">
        <v>341</v>
      </c>
      <c r="C199" t="s">
        <v>221</v>
      </c>
      <c r="D199" t="s">
        <v>46</v>
      </c>
      <c r="E199">
        <v>417</v>
      </c>
      <c r="F199" t="s">
        <v>354</v>
      </c>
      <c r="G199" t="s">
        <v>179</v>
      </c>
      <c r="H199" t="s">
        <v>178</v>
      </c>
      <c r="I199" s="1">
        <v>299990</v>
      </c>
      <c r="J199">
        <v>2</v>
      </c>
      <c r="K199" s="7">
        <f>Таблица1[[#This Row],[Штуки]]/SUMIFS(Таблица1[Штуки],Таблица1[Ветка],Таблица1[[#This Row],[Ветка]],Таблица1[Месяц],Таблица1[[#This Row],[Месяц]])</f>
        <v>5.7142857142857141E-2</v>
      </c>
      <c r="L199" s="1">
        <v>459980</v>
      </c>
      <c r="M199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5.3678064182151125E-2</v>
      </c>
      <c r="N199" t="s">
        <v>96</v>
      </c>
      <c r="O199">
        <v>4</v>
      </c>
      <c r="P199">
        <v>0</v>
      </c>
      <c r="Q199">
        <v>0</v>
      </c>
      <c r="R199" t="s">
        <v>344</v>
      </c>
      <c r="S199">
        <v>130</v>
      </c>
      <c r="T199">
        <v>84.5</v>
      </c>
      <c r="U199">
        <v>65</v>
      </c>
      <c r="V199">
        <v>4</v>
      </c>
      <c r="W199">
        <v>-25</v>
      </c>
    </row>
    <row r="200" spans="1:23" x14ac:dyDescent="0.3">
      <c r="A200">
        <v>2800259</v>
      </c>
      <c r="B200" t="s">
        <v>341</v>
      </c>
      <c r="C200" t="s">
        <v>222</v>
      </c>
      <c r="D200" t="s">
        <v>223</v>
      </c>
      <c r="E200">
        <v>551</v>
      </c>
      <c r="F200" t="s">
        <v>355</v>
      </c>
      <c r="G200" t="s">
        <v>179</v>
      </c>
      <c r="H200" t="s">
        <v>178</v>
      </c>
      <c r="I200" s="1">
        <v>458000</v>
      </c>
      <c r="J200">
        <v>1</v>
      </c>
      <c r="K200" s="7">
        <f>Таблица1[[#This Row],[Штуки]]/SUMIFS(Таблица1[Штуки],Таблица1[Ветка],Таблица1[[#This Row],[Ветка]],Таблица1[Месяц],Таблица1[[#This Row],[Месяц]])</f>
        <v>8.1967213114754103E-3</v>
      </c>
      <c r="L200" s="1">
        <v>458000</v>
      </c>
      <c r="M200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1.3498038879362162E-2</v>
      </c>
      <c r="N200" t="s">
        <v>96</v>
      </c>
      <c r="O200">
        <v>1</v>
      </c>
      <c r="P200">
        <v>4.4000000000000004</v>
      </c>
      <c r="Q200">
        <v>8</v>
      </c>
      <c r="R200" t="s">
        <v>344</v>
      </c>
      <c r="S200">
        <v>160</v>
      </c>
      <c r="T200">
        <v>80</v>
      </c>
      <c r="U200">
        <v>60</v>
      </c>
      <c r="V200">
        <v>6</v>
      </c>
      <c r="W200">
        <v>0</v>
      </c>
    </row>
    <row r="201" spans="1:23" x14ac:dyDescent="0.3">
      <c r="A201">
        <v>106635013</v>
      </c>
      <c r="B201" t="s">
        <v>343</v>
      </c>
      <c r="C201" t="s">
        <v>224</v>
      </c>
      <c r="D201" t="s">
        <v>203</v>
      </c>
      <c r="E201">
        <v>850</v>
      </c>
      <c r="F201" t="s">
        <v>358</v>
      </c>
      <c r="G201" t="s">
        <v>225</v>
      </c>
      <c r="H201" t="s">
        <v>178</v>
      </c>
      <c r="I201" s="1">
        <v>382945</v>
      </c>
      <c r="J201">
        <v>1</v>
      </c>
      <c r="K201" s="7">
        <f>Таблица1[[#This Row],[Штуки]]/SUMIFS(Таблица1[Штуки],Таблица1[Ветка],Таблица1[[#This Row],[Ветка]],Таблица1[Месяц],Таблица1[[#This Row],[Месяц]])</f>
        <v>7.6923076923076927E-2</v>
      </c>
      <c r="L201" s="1">
        <v>412899</v>
      </c>
      <c r="M201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7.4826326027555151E-2</v>
      </c>
      <c r="N201" t="s">
        <v>57</v>
      </c>
      <c r="O201">
        <v>5</v>
      </c>
      <c r="P201">
        <v>4.8</v>
      </c>
      <c r="Q201">
        <v>13</v>
      </c>
      <c r="R201" t="s">
        <v>344</v>
      </c>
      <c r="S201">
        <v>200.1</v>
      </c>
      <c r="T201">
        <v>87</v>
      </c>
      <c r="U201">
        <v>85.5</v>
      </c>
      <c r="V201">
        <v>0</v>
      </c>
      <c r="W201">
        <v>-18</v>
      </c>
    </row>
    <row r="202" spans="1:23" x14ac:dyDescent="0.3">
      <c r="A202">
        <v>149362714</v>
      </c>
      <c r="B202" t="s">
        <v>341</v>
      </c>
      <c r="C202" t="s">
        <v>226</v>
      </c>
      <c r="D202" t="s">
        <v>84</v>
      </c>
      <c r="E202">
        <v>613</v>
      </c>
      <c r="F202" t="s">
        <v>356</v>
      </c>
      <c r="G202" t="s">
        <v>180</v>
      </c>
      <c r="H202" t="s">
        <v>178</v>
      </c>
      <c r="I202" s="1">
        <v>405000</v>
      </c>
      <c r="J202">
        <v>1</v>
      </c>
      <c r="K202" s="7">
        <f>Таблица1[[#This Row],[Штуки]]/SUMIFS(Таблица1[Штуки],Таблица1[Ветка],Таблица1[[#This Row],[Ветка]],Таблица1[Месяц],Таблица1[[#This Row],[Месяц]])</f>
        <v>1.1904761904761904E-2</v>
      </c>
      <c r="L202" s="1">
        <v>405000</v>
      </c>
      <c r="M202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1.6462559384110044E-2</v>
      </c>
      <c r="N202" t="s">
        <v>57</v>
      </c>
      <c r="O202">
        <v>1</v>
      </c>
      <c r="P202">
        <v>5</v>
      </c>
      <c r="Q202">
        <v>2</v>
      </c>
      <c r="R202" t="s">
        <v>342</v>
      </c>
      <c r="S202">
        <v>180</v>
      </c>
      <c r="T202">
        <v>86</v>
      </c>
      <c r="U202">
        <v>76</v>
      </c>
      <c r="V202">
        <v>7</v>
      </c>
      <c r="W202">
        <v>-22</v>
      </c>
    </row>
    <row r="203" spans="1:23" x14ac:dyDescent="0.3">
      <c r="A203">
        <v>142298659</v>
      </c>
      <c r="B203" t="s">
        <v>341</v>
      </c>
      <c r="C203" t="s">
        <v>227</v>
      </c>
      <c r="D203" t="s">
        <v>115</v>
      </c>
      <c r="E203">
        <v>700</v>
      </c>
      <c r="F203" t="s">
        <v>357</v>
      </c>
      <c r="G203" t="s">
        <v>180</v>
      </c>
      <c r="H203" t="s">
        <v>178</v>
      </c>
      <c r="I203" s="1">
        <v>385000</v>
      </c>
      <c r="J203">
        <v>1</v>
      </c>
      <c r="K203" s="7">
        <f>Таблица1[[#This Row],[Штуки]]/SUMIFS(Таблица1[Штуки],Таблица1[Ветка],Таблица1[[#This Row],[Ветка]],Таблица1[Месяц],Таблица1[[#This Row],[Месяц]])</f>
        <v>8.6206896551724137E-3</v>
      </c>
      <c r="L203" s="1">
        <v>394000</v>
      </c>
      <c r="M203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8.7451810501071349E-3</v>
      </c>
      <c r="N203" t="s">
        <v>96</v>
      </c>
      <c r="O203">
        <v>2</v>
      </c>
      <c r="P203">
        <v>5</v>
      </c>
      <c r="Q203">
        <v>0</v>
      </c>
      <c r="R203" t="s">
        <v>342</v>
      </c>
      <c r="S203">
        <v>200</v>
      </c>
      <c r="T203">
        <v>80</v>
      </c>
      <c r="U203">
        <v>76</v>
      </c>
      <c r="V203">
        <v>7</v>
      </c>
      <c r="W203">
        <v>-24</v>
      </c>
    </row>
    <row r="204" spans="1:23" x14ac:dyDescent="0.3">
      <c r="A204">
        <v>116903955</v>
      </c>
      <c r="B204" t="s">
        <v>343</v>
      </c>
      <c r="C204" t="s">
        <v>75</v>
      </c>
      <c r="D204" t="s">
        <v>30</v>
      </c>
      <c r="E204">
        <v>750</v>
      </c>
      <c r="F204" t="s">
        <v>357</v>
      </c>
      <c r="G204" t="s">
        <v>179</v>
      </c>
      <c r="H204" t="s">
        <v>178</v>
      </c>
      <c r="I204" s="1">
        <v>309990</v>
      </c>
      <c r="J204">
        <v>1</v>
      </c>
      <c r="K204" s="7">
        <f>Таблица1[[#This Row],[Штуки]]/SUMIFS(Таблица1[Штуки],Таблица1[Ветка],Таблица1[[#This Row],[Ветка]],Таблица1[Месяц],Таблица1[[#This Row],[Месяц]])</f>
        <v>8.6206896551724137E-3</v>
      </c>
      <c r="L204" s="1">
        <v>387008</v>
      </c>
      <c r="M204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8.589987380304219E-3</v>
      </c>
      <c r="N204" t="s">
        <v>23</v>
      </c>
      <c r="O204">
        <v>1</v>
      </c>
      <c r="P204">
        <v>4.9000000000000004</v>
      </c>
      <c r="Q204">
        <v>22</v>
      </c>
      <c r="R204" t="s">
        <v>342</v>
      </c>
      <c r="S204">
        <v>188</v>
      </c>
      <c r="T204">
        <v>95.2</v>
      </c>
      <c r="U204">
        <v>73.5</v>
      </c>
      <c r="V204">
        <v>1</v>
      </c>
      <c r="W204">
        <v>-18</v>
      </c>
    </row>
    <row r="205" spans="1:23" x14ac:dyDescent="0.3">
      <c r="A205">
        <v>143852360</v>
      </c>
      <c r="B205" t="s">
        <v>341</v>
      </c>
      <c r="C205" t="s">
        <v>137</v>
      </c>
      <c r="D205" t="s">
        <v>130</v>
      </c>
      <c r="E205">
        <v>105</v>
      </c>
      <c r="F205" t="s">
        <v>351</v>
      </c>
      <c r="G205" t="s">
        <v>179</v>
      </c>
      <c r="H205" t="s">
        <v>178</v>
      </c>
      <c r="I205" s="1">
        <v>90800</v>
      </c>
      <c r="J205">
        <v>4</v>
      </c>
      <c r="K205" s="7">
        <f>Таблица1[[#This Row],[Штуки]]/SUMIFS(Таблица1[Штуки],Таблица1[Ветка],Таблица1[[#This Row],[Ветка]],Таблица1[Месяц],Таблица1[[#This Row],[Месяц]])</f>
        <v>0.11764705882352941</v>
      </c>
      <c r="L205" s="1">
        <v>383837</v>
      </c>
      <c r="M205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9.9968251810284903E-2</v>
      </c>
      <c r="N205" t="s">
        <v>57</v>
      </c>
      <c r="O205">
        <v>2</v>
      </c>
      <c r="P205">
        <v>4.5999999999999996</v>
      </c>
      <c r="Q205">
        <v>5</v>
      </c>
      <c r="R205" t="s">
        <v>344</v>
      </c>
      <c r="S205">
        <v>58</v>
      </c>
      <c r="T205">
        <v>78</v>
      </c>
      <c r="U205">
        <v>63</v>
      </c>
      <c r="V205">
        <v>2</v>
      </c>
      <c r="W205">
        <v>-18</v>
      </c>
    </row>
    <row r="206" spans="1:23" x14ac:dyDescent="0.3">
      <c r="A206">
        <v>136844048</v>
      </c>
      <c r="B206" t="s">
        <v>341</v>
      </c>
      <c r="C206" t="s">
        <v>228</v>
      </c>
      <c r="D206" t="s">
        <v>46</v>
      </c>
      <c r="E206">
        <v>570</v>
      </c>
      <c r="F206" t="s">
        <v>355</v>
      </c>
      <c r="G206" t="s">
        <v>179</v>
      </c>
      <c r="H206" t="s">
        <v>178</v>
      </c>
      <c r="I206" s="1">
        <v>379990</v>
      </c>
      <c r="J206">
        <v>1</v>
      </c>
      <c r="K206" s="7">
        <f>Таблица1[[#This Row],[Штуки]]/SUMIFS(Таблица1[Штуки],Таблица1[Ветка],Таблица1[[#This Row],[Ветка]],Таблица1[Месяц],Таблица1[[#This Row],[Месяц]])</f>
        <v>8.1967213114754103E-3</v>
      </c>
      <c r="L206" s="1">
        <v>379990</v>
      </c>
      <c r="M206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1.11989515147791E-2</v>
      </c>
      <c r="N206" t="s">
        <v>96</v>
      </c>
      <c r="O206">
        <v>3</v>
      </c>
      <c r="P206">
        <v>5</v>
      </c>
      <c r="Q206">
        <v>0</v>
      </c>
      <c r="R206" t="s">
        <v>344</v>
      </c>
      <c r="S206">
        <v>175</v>
      </c>
      <c r="T206">
        <v>81.8</v>
      </c>
      <c r="U206">
        <v>65</v>
      </c>
      <c r="V206">
        <v>6</v>
      </c>
      <c r="W206">
        <v>-24</v>
      </c>
    </row>
    <row r="207" spans="1:23" x14ac:dyDescent="0.3">
      <c r="A207">
        <v>108427272</v>
      </c>
      <c r="B207" t="s">
        <v>343</v>
      </c>
      <c r="C207" t="s">
        <v>229</v>
      </c>
      <c r="D207" t="s">
        <v>71</v>
      </c>
      <c r="E207">
        <v>800</v>
      </c>
      <c r="F207" t="s">
        <v>358</v>
      </c>
      <c r="G207" t="s">
        <v>179</v>
      </c>
      <c r="H207" t="s">
        <v>178</v>
      </c>
      <c r="I207" s="1">
        <v>379990</v>
      </c>
      <c r="J207">
        <v>1</v>
      </c>
      <c r="K207" s="7">
        <f>Таблица1[[#This Row],[Штуки]]/SUMIFS(Таблица1[Штуки],Таблица1[Ветка],Таблица1[[#This Row],[Ветка]],Таблица1[Месяц],Таблица1[[#This Row],[Месяц]])</f>
        <v>7.6923076923076927E-2</v>
      </c>
      <c r="L207" s="1">
        <v>379990</v>
      </c>
      <c r="M207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6.8862495736755666E-2</v>
      </c>
      <c r="N207" t="s">
        <v>96</v>
      </c>
      <c r="O207">
        <v>1</v>
      </c>
      <c r="P207">
        <v>5</v>
      </c>
      <c r="Q207">
        <v>15</v>
      </c>
      <c r="R207" t="s">
        <v>344</v>
      </c>
      <c r="S207">
        <v>195</v>
      </c>
      <c r="T207">
        <v>88</v>
      </c>
      <c r="U207">
        <v>84</v>
      </c>
      <c r="V207">
        <v>2</v>
      </c>
      <c r="W207">
        <v>-18</v>
      </c>
    </row>
    <row r="208" spans="1:23" x14ac:dyDescent="0.3">
      <c r="A208">
        <v>132088486</v>
      </c>
      <c r="B208" t="s">
        <v>341</v>
      </c>
      <c r="C208" t="s">
        <v>64</v>
      </c>
      <c r="D208" t="s">
        <v>25</v>
      </c>
      <c r="E208">
        <v>680</v>
      </c>
      <c r="F208" t="s">
        <v>356</v>
      </c>
      <c r="G208" t="s">
        <v>179</v>
      </c>
      <c r="H208" t="s">
        <v>178</v>
      </c>
      <c r="I208" s="1">
        <v>371725</v>
      </c>
      <c r="J208">
        <v>1</v>
      </c>
      <c r="K208" s="7">
        <f>Таблица1[[#This Row],[Штуки]]/SUMIFS(Таблица1[Штуки],Таблица1[Ветка],Таблица1[[#This Row],[Ветка]],Таблица1[Месяц],Таблица1[[#This Row],[Месяц]])</f>
        <v>1.1904761904761904E-2</v>
      </c>
      <c r="L208" s="1">
        <v>378595</v>
      </c>
      <c r="M208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1.5389241160560846E-2</v>
      </c>
      <c r="N208" t="s">
        <v>23</v>
      </c>
      <c r="O208">
        <v>5</v>
      </c>
      <c r="P208">
        <v>5</v>
      </c>
      <c r="Q208">
        <v>17</v>
      </c>
      <c r="R208" t="s">
        <v>344</v>
      </c>
      <c r="S208">
        <v>202.5</v>
      </c>
      <c r="T208">
        <v>88.5</v>
      </c>
      <c r="U208">
        <v>66.5</v>
      </c>
      <c r="V208">
        <v>6</v>
      </c>
      <c r="W208">
        <v>-25</v>
      </c>
    </row>
    <row r="209" spans="1:23" x14ac:dyDescent="0.3">
      <c r="A209">
        <v>129607134</v>
      </c>
      <c r="B209" t="s">
        <v>341</v>
      </c>
      <c r="C209" t="s">
        <v>230</v>
      </c>
      <c r="D209" t="s">
        <v>52</v>
      </c>
      <c r="E209">
        <v>246</v>
      </c>
      <c r="F209" t="s">
        <v>352</v>
      </c>
      <c r="G209" t="s">
        <v>180</v>
      </c>
      <c r="H209" t="s">
        <v>178</v>
      </c>
      <c r="I209" s="1">
        <v>183200</v>
      </c>
      <c r="J209">
        <v>1</v>
      </c>
      <c r="K209" s="7">
        <f>Таблица1[[#This Row],[Штуки]]/SUMIFS(Таблица1[Штуки],Таблица1[Ветка],Таблица1[[#This Row],[Ветка]],Таблица1[Месяц],Таблица1[[#This Row],[Месяц]])</f>
        <v>1.282051282051282E-2</v>
      </c>
      <c r="L209" s="1">
        <v>366716</v>
      </c>
      <c r="M209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2.6841837330338188E-2</v>
      </c>
      <c r="N209" t="s">
        <v>96</v>
      </c>
      <c r="O209">
        <v>5</v>
      </c>
      <c r="P209">
        <v>5</v>
      </c>
      <c r="Q209">
        <v>1</v>
      </c>
      <c r="R209" t="s">
        <v>344</v>
      </c>
      <c r="S209">
        <v>103.3</v>
      </c>
      <c r="T209">
        <v>91</v>
      </c>
      <c r="U209">
        <v>62</v>
      </c>
      <c r="V209">
        <v>3</v>
      </c>
      <c r="W209">
        <v>-36</v>
      </c>
    </row>
    <row r="210" spans="1:23" x14ac:dyDescent="0.3">
      <c r="A210">
        <v>106636721</v>
      </c>
      <c r="B210" t="s">
        <v>341</v>
      </c>
      <c r="C210" t="s">
        <v>231</v>
      </c>
      <c r="D210" t="s">
        <v>71</v>
      </c>
      <c r="E210">
        <v>600</v>
      </c>
      <c r="F210" t="s">
        <v>356</v>
      </c>
      <c r="G210" t="s">
        <v>180</v>
      </c>
      <c r="H210" t="s">
        <v>178</v>
      </c>
      <c r="I210" s="1">
        <v>371000</v>
      </c>
      <c r="J210">
        <v>1</v>
      </c>
      <c r="K210" s="7">
        <f>Таблица1[[#This Row],[Штуки]]/SUMIFS(Таблица1[Штуки],Таблица1[Ветка],Таблица1[[#This Row],[Ветка]],Таблица1[Месяц],Таблица1[[#This Row],[Месяц]])</f>
        <v>1.1904761904761904E-2</v>
      </c>
      <c r="L210" s="1">
        <v>364900</v>
      </c>
      <c r="M210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1.4832562763609272E-2</v>
      </c>
      <c r="N210" t="s">
        <v>96</v>
      </c>
      <c r="O210">
        <v>1</v>
      </c>
      <c r="P210">
        <v>5</v>
      </c>
      <c r="Q210">
        <v>1</v>
      </c>
      <c r="R210" t="s">
        <v>344</v>
      </c>
      <c r="S210">
        <v>165</v>
      </c>
      <c r="T210">
        <v>87</v>
      </c>
      <c r="U210">
        <v>76</v>
      </c>
      <c r="V210">
        <v>5</v>
      </c>
      <c r="W210">
        <v>0</v>
      </c>
    </row>
    <row r="211" spans="1:23" x14ac:dyDescent="0.3">
      <c r="A211">
        <v>140652811</v>
      </c>
      <c r="B211" t="s">
        <v>343</v>
      </c>
      <c r="C211" t="s">
        <v>51</v>
      </c>
      <c r="D211" t="s">
        <v>52</v>
      </c>
      <c r="E211">
        <v>800</v>
      </c>
      <c r="F211" t="s">
        <v>358</v>
      </c>
      <c r="G211" t="s">
        <v>179</v>
      </c>
      <c r="H211" t="s">
        <v>178</v>
      </c>
      <c r="I211" s="1">
        <v>333000</v>
      </c>
      <c r="J211">
        <v>1</v>
      </c>
      <c r="K211" s="7">
        <f>Таблица1[[#This Row],[Штуки]]/SUMIFS(Таблица1[Штуки],Таблица1[Ветка],Таблица1[[#This Row],[Ветка]],Таблица1[Месяц],Таблица1[[#This Row],[Месяц]])</f>
        <v>7.6923076923076927E-2</v>
      </c>
      <c r="L211" s="1">
        <v>333000</v>
      </c>
      <c r="M211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6.0346880392483065E-2</v>
      </c>
      <c r="N211" t="s">
        <v>23</v>
      </c>
      <c r="O211">
        <v>1</v>
      </c>
      <c r="P211">
        <v>5</v>
      </c>
      <c r="Q211">
        <v>7</v>
      </c>
      <c r="R211" t="s">
        <v>344</v>
      </c>
      <c r="S211">
        <v>194.5</v>
      </c>
      <c r="T211">
        <v>88</v>
      </c>
      <c r="U211">
        <v>80</v>
      </c>
      <c r="V211">
        <v>2</v>
      </c>
      <c r="W211">
        <v>-18</v>
      </c>
    </row>
    <row r="212" spans="1:23" x14ac:dyDescent="0.3">
      <c r="A212">
        <v>104775274</v>
      </c>
      <c r="B212" t="s">
        <v>343</v>
      </c>
      <c r="C212" t="s">
        <v>156</v>
      </c>
      <c r="D212" t="s">
        <v>157</v>
      </c>
      <c r="E212">
        <v>500</v>
      </c>
      <c r="F212" t="s">
        <v>355</v>
      </c>
      <c r="G212" t="s">
        <v>179</v>
      </c>
      <c r="H212" t="s">
        <v>178</v>
      </c>
      <c r="I212" s="1">
        <v>279345</v>
      </c>
      <c r="J212">
        <v>1</v>
      </c>
      <c r="K212" s="7">
        <f>Таблица1[[#This Row],[Штуки]]/SUMIFS(Таблица1[Штуки],Таблица1[Ветка],Таблица1[[#This Row],[Ветка]],Таблица1[Месяц],Таблица1[[#This Row],[Месяц]])</f>
        <v>8.1967213114754103E-3</v>
      </c>
      <c r="L212" s="1">
        <v>330000</v>
      </c>
      <c r="M212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9.7256612012871467E-3</v>
      </c>
      <c r="N212" t="s">
        <v>57</v>
      </c>
      <c r="O212">
        <v>3</v>
      </c>
      <c r="P212">
        <v>5</v>
      </c>
      <c r="Q212">
        <v>8</v>
      </c>
      <c r="R212" t="s">
        <v>344</v>
      </c>
      <c r="S212">
        <v>153</v>
      </c>
      <c r="T212">
        <v>80</v>
      </c>
      <c r="U212">
        <v>75</v>
      </c>
      <c r="V212">
        <v>0</v>
      </c>
      <c r="W212">
        <v>-24</v>
      </c>
    </row>
    <row r="213" spans="1:23" x14ac:dyDescent="0.3">
      <c r="A213">
        <v>103923411</v>
      </c>
      <c r="B213" t="s">
        <v>346</v>
      </c>
      <c r="C213" t="s">
        <v>145</v>
      </c>
      <c r="D213" t="s">
        <v>146</v>
      </c>
      <c r="E213">
        <v>96</v>
      </c>
      <c r="F213" t="s">
        <v>350</v>
      </c>
      <c r="G213" t="s">
        <v>179</v>
      </c>
      <c r="H213" t="s">
        <v>178</v>
      </c>
      <c r="I213" s="1">
        <v>302770</v>
      </c>
      <c r="J213">
        <v>1</v>
      </c>
      <c r="K213" s="7">
        <f>Таблица1[[#This Row],[Штуки]]/SUMIFS(Таблица1[Штуки],Таблица1[Ветка],Таблица1[[#This Row],[Ветка]],Таблица1[Месяц],Таблица1[[#This Row],[Месяц]])</f>
        <v>0.33333333333333331</v>
      </c>
      <c r="L213" s="1">
        <v>304950</v>
      </c>
      <c r="M213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0.38850598142509524</v>
      </c>
      <c r="N213" t="s">
        <v>96</v>
      </c>
      <c r="O213">
        <v>6</v>
      </c>
      <c r="P213">
        <v>4.9000000000000004</v>
      </c>
      <c r="Q213">
        <v>14</v>
      </c>
      <c r="R213" t="s">
        <v>344</v>
      </c>
      <c r="S213">
        <v>59.5</v>
      </c>
      <c r="T213">
        <v>81.8</v>
      </c>
      <c r="U213">
        <v>54.5</v>
      </c>
      <c r="V213">
        <v>0</v>
      </c>
      <c r="W213">
        <v>-24</v>
      </c>
    </row>
    <row r="214" spans="1:23" x14ac:dyDescent="0.3">
      <c r="A214">
        <v>150941920</v>
      </c>
      <c r="B214" t="s">
        <v>341</v>
      </c>
      <c r="C214" t="s">
        <v>232</v>
      </c>
      <c r="D214" t="s">
        <v>135</v>
      </c>
      <c r="E214">
        <v>518</v>
      </c>
      <c r="F214" t="s">
        <v>355</v>
      </c>
      <c r="G214" t="s">
        <v>180</v>
      </c>
      <c r="H214" t="s">
        <v>178</v>
      </c>
      <c r="I214" s="1">
        <v>289523</v>
      </c>
      <c r="J214">
        <v>1</v>
      </c>
      <c r="K214" s="7">
        <f>Таблица1[[#This Row],[Штуки]]/SUMIFS(Таблица1[Штуки],Таблица1[Ветка],Таблица1[[#This Row],[Ветка]],Таблица1[Месяц],Таблица1[[#This Row],[Месяц]])</f>
        <v>8.1967213114754103E-3</v>
      </c>
      <c r="L214" s="1">
        <v>289523</v>
      </c>
      <c r="M214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8.5327351756977528E-3</v>
      </c>
      <c r="N214" t="s">
        <v>96</v>
      </c>
      <c r="O214">
        <v>1</v>
      </c>
      <c r="P214">
        <v>0</v>
      </c>
      <c r="Q214">
        <v>0</v>
      </c>
      <c r="R214" t="s">
        <v>344</v>
      </c>
      <c r="S214">
        <v>149.5</v>
      </c>
      <c r="T214">
        <v>85</v>
      </c>
      <c r="U214">
        <v>76.5</v>
      </c>
      <c r="V214">
        <v>4</v>
      </c>
      <c r="W214">
        <v>-20</v>
      </c>
    </row>
    <row r="215" spans="1:23" x14ac:dyDescent="0.3">
      <c r="A215">
        <v>154663956</v>
      </c>
      <c r="B215" t="s">
        <v>341</v>
      </c>
      <c r="C215" t="s">
        <v>233</v>
      </c>
      <c r="D215" t="s">
        <v>115</v>
      </c>
      <c r="E215">
        <v>518</v>
      </c>
      <c r="F215" t="s">
        <v>355</v>
      </c>
      <c r="G215" t="s">
        <v>180</v>
      </c>
      <c r="H215" t="s">
        <v>178</v>
      </c>
      <c r="I215" s="1">
        <v>280000</v>
      </c>
      <c r="J215">
        <v>1</v>
      </c>
      <c r="K215" s="7">
        <f>Таблица1[[#This Row],[Штуки]]/SUMIFS(Таблица1[Штуки],Таблица1[Ветка],Таблица1[[#This Row],[Ветка]],Таблица1[Месяц],Таблица1[[#This Row],[Месяц]])</f>
        <v>8.1967213114754103E-3</v>
      </c>
      <c r="L215" s="1">
        <v>280556</v>
      </c>
      <c r="M215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8.268462436328233E-3</v>
      </c>
      <c r="N215" t="s">
        <v>96</v>
      </c>
      <c r="O215">
        <v>1</v>
      </c>
      <c r="P215">
        <v>0</v>
      </c>
      <c r="Q215">
        <v>0</v>
      </c>
      <c r="R215" t="s">
        <v>344</v>
      </c>
      <c r="S215">
        <v>150</v>
      </c>
      <c r="T215">
        <v>83.5</v>
      </c>
      <c r="U215">
        <v>75</v>
      </c>
      <c r="V215">
        <v>5</v>
      </c>
      <c r="W215">
        <v>-20</v>
      </c>
    </row>
    <row r="216" spans="1:23" x14ac:dyDescent="0.3">
      <c r="A216">
        <v>119264283</v>
      </c>
      <c r="B216" t="s">
        <v>341</v>
      </c>
      <c r="C216" t="s">
        <v>142</v>
      </c>
      <c r="D216" t="s">
        <v>35</v>
      </c>
      <c r="E216">
        <v>105</v>
      </c>
      <c r="F216" t="s">
        <v>351</v>
      </c>
      <c r="G216" t="s">
        <v>179</v>
      </c>
      <c r="H216" t="s">
        <v>178</v>
      </c>
      <c r="I216" s="1">
        <v>86700</v>
      </c>
      <c r="J216">
        <v>3</v>
      </c>
      <c r="K216" s="7">
        <f>Таблица1[[#This Row],[Штуки]]/SUMIFS(Таблица1[Штуки],Таблица1[Ветка],Таблица1[[#This Row],[Ветка]],Таблица1[Месяц],Таблица1[[#This Row],[Месяц]])</f>
        <v>8.8235294117647065E-2</v>
      </c>
      <c r="L216" s="1">
        <v>270770</v>
      </c>
      <c r="M216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7.0520568737956063E-2</v>
      </c>
      <c r="N216" t="s">
        <v>57</v>
      </c>
      <c r="O216">
        <v>1</v>
      </c>
      <c r="P216">
        <v>4.9000000000000004</v>
      </c>
      <c r="Q216">
        <v>13</v>
      </c>
      <c r="R216" t="s">
        <v>344</v>
      </c>
      <c r="S216">
        <v>60</v>
      </c>
      <c r="T216">
        <v>80</v>
      </c>
      <c r="U216">
        <v>55</v>
      </c>
      <c r="V216">
        <v>1</v>
      </c>
      <c r="W216">
        <v>-18</v>
      </c>
    </row>
    <row r="217" spans="1:23" x14ac:dyDescent="0.3">
      <c r="A217">
        <v>121586076</v>
      </c>
      <c r="B217" t="s">
        <v>343</v>
      </c>
      <c r="C217" t="s">
        <v>70</v>
      </c>
      <c r="D217" t="s">
        <v>71</v>
      </c>
      <c r="E217">
        <v>500</v>
      </c>
      <c r="F217" t="s">
        <v>355</v>
      </c>
      <c r="G217" t="s">
        <v>179</v>
      </c>
      <c r="H217" t="s">
        <v>178</v>
      </c>
      <c r="I217" s="1">
        <v>267700</v>
      </c>
      <c r="J217">
        <v>1</v>
      </c>
      <c r="K217" s="7">
        <f>Таблица1[[#This Row],[Штуки]]/SUMIFS(Таблица1[Штуки],Таблица1[Ветка],Таблица1[[#This Row],[Ветка]],Таблица1[Месяц],Таблица1[[#This Row],[Месяц]])</f>
        <v>8.1967213114754103E-3</v>
      </c>
      <c r="L217" s="1">
        <v>267700</v>
      </c>
      <c r="M217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7.8895742532865739E-3</v>
      </c>
      <c r="N217" t="s">
        <v>57</v>
      </c>
      <c r="O217">
        <v>1</v>
      </c>
      <c r="P217">
        <v>5</v>
      </c>
      <c r="Q217">
        <v>2</v>
      </c>
      <c r="R217" t="s">
        <v>342</v>
      </c>
      <c r="S217">
        <v>165</v>
      </c>
      <c r="T217">
        <v>84</v>
      </c>
      <c r="U217">
        <v>77</v>
      </c>
      <c r="V217">
        <v>0</v>
      </c>
      <c r="W217">
        <v>-18</v>
      </c>
    </row>
    <row r="218" spans="1:23" x14ac:dyDescent="0.3">
      <c r="A218">
        <v>122074021</v>
      </c>
      <c r="B218" t="s">
        <v>341</v>
      </c>
      <c r="C218" t="s">
        <v>234</v>
      </c>
      <c r="D218" t="s">
        <v>52</v>
      </c>
      <c r="E218">
        <v>366</v>
      </c>
      <c r="F218" t="s">
        <v>353</v>
      </c>
      <c r="G218" t="s">
        <v>180</v>
      </c>
      <c r="H218" t="s">
        <v>178</v>
      </c>
      <c r="I218" s="1">
        <v>217800</v>
      </c>
      <c r="J218">
        <v>1</v>
      </c>
      <c r="K218" s="7">
        <f>Таблица1[[#This Row],[Штуки]]/SUMIFS(Таблица1[Штуки],Таблица1[Ветка],Таблица1[[#This Row],[Ветка]],Таблица1[Месяц],Таблица1[[#This Row],[Месяц]])</f>
        <v>1.1627906976744186E-2</v>
      </c>
      <c r="L218" s="1">
        <v>217800</v>
      </c>
      <c r="M218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1.2088622591371088E-2</v>
      </c>
      <c r="N218" t="s">
        <v>96</v>
      </c>
      <c r="O218">
        <v>5</v>
      </c>
      <c r="P218">
        <v>5</v>
      </c>
      <c r="Q218">
        <v>1</v>
      </c>
      <c r="R218" t="s">
        <v>342</v>
      </c>
      <c r="S218">
        <v>139</v>
      </c>
      <c r="T218">
        <v>100</v>
      </c>
      <c r="U218">
        <v>72</v>
      </c>
      <c r="V218">
        <v>4</v>
      </c>
      <c r="W218">
        <v>-18</v>
      </c>
    </row>
    <row r="219" spans="1:23" x14ac:dyDescent="0.3">
      <c r="A219">
        <v>116214532</v>
      </c>
      <c r="B219" t="s">
        <v>343</v>
      </c>
      <c r="C219" t="s">
        <v>155</v>
      </c>
      <c r="D219" t="s">
        <v>133</v>
      </c>
      <c r="E219">
        <v>501</v>
      </c>
      <c r="F219" t="s">
        <v>355</v>
      </c>
      <c r="G219" t="s">
        <v>179</v>
      </c>
      <c r="H219" t="s">
        <v>178</v>
      </c>
      <c r="I219" s="1">
        <v>288888</v>
      </c>
      <c r="J219">
        <v>1</v>
      </c>
      <c r="K219" s="7">
        <f>Таблица1[[#This Row],[Штуки]]/SUMIFS(Таблица1[Штуки],Таблица1[Ветка],Таблица1[[#This Row],[Ветка]],Таблица1[Месяц],Таблица1[[#This Row],[Месяц]])</f>
        <v>8.1967213114754103E-3</v>
      </c>
      <c r="L219" s="1">
        <v>191814</v>
      </c>
      <c r="M219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5.6530847807990696E-3</v>
      </c>
      <c r="N219" t="s">
        <v>96</v>
      </c>
      <c r="O219">
        <v>2</v>
      </c>
      <c r="P219">
        <v>5</v>
      </c>
      <c r="Q219">
        <v>5</v>
      </c>
      <c r="R219" t="s">
        <v>344</v>
      </c>
      <c r="S219">
        <v>153</v>
      </c>
      <c r="T219">
        <v>88</v>
      </c>
      <c r="U219">
        <v>67</v>
      </c>
      <c r="V219">
        <v>1</v>
      </c>
      <c r="W219">
        <v>-24</v>
      </c>
    </row>
    <row r="220" spans="1:23" x14ac:dyDescent="0.3">
      <c r="A220">
        <v>117729101</v>
      </c>
      <c r="B220" t="s">
        <v>341</v>
      </c>
      <c r="C220" t="s">
        <v>172</v>
      </c>
      <c r="D220" t="s">
        <v>93</v>
      </c>
      <c r="E220">
        <v>380</v>
      </c>
      <c r="F220" t="s">
        <v>353</v>
      </c>
      <c r="G220" t="s">
        <v>180</v>
      </c>
      <c r="H220" t="s">
        <v>178</v>
      </c>
      <c r="I220" s="1">
        <v>189990</v>
      </c>
      <c r="J220">
        <v>1</v>
      </c>
      <c r="K220" s="7">
        <f>Таблица1[[#This Row],[Штуки]]/SUMIFS(Таблица1[Штуки],Таблица1[Ветка],Таблица1[[#This Row],[Ветка]],Таблица1[Месяц],Таблица1[[#This Row],[Месяц]])</f>
        <v>1.1627906976744186E-2</v>
      </c>
      <c r="L220" s="1">
        <v>189989</v>
      </c>
      <c r="M220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1.0545019823287427E-2</v>
      </c>
      <c r="N220" t="s">
        <v>96</v>
      </c>
      <c r="O220">
        <v>1</v>
      </c>
      <c r="P220">
        <v>4.8</v>
      </c>
      <c r="Q220">
        <v>16</v>
      </c>
      <c r="R220" t="s">
        <v>342</v>
      </c>
      <c r="S220">
        <v>122</v>
      </c>
      <c r="T220">
        <v>90</v>
      </c>
      <c r="U220">
        <v>70</v>
      </c>
      <c r="V220">
        <v>4</v>
      </c>
      <c r="W220">
        <v>-18</v>
      </c>
    </row>
    <row r="221" spans="1:23" x14ac:dyDescent="0.3">
      <c r="A221">
        <v>137444919</v>
      </c>
      <c r="B221" t="s">
        <v>341</v>
      </c>
      <c r="C221" t="s">
        <v>28</v>
      </c>
      <c r="D221" t="s">
        <v>20</v>
      </c>
      <c r="E221">
        <v>700</v>
      </c>
      <c r="F221" t="s">
        <v>357</v>
      </c>
      <c r="G221" t="s">
        <v>177</v>
      </c>
      <c r="H221" t="s">
        <v>235</v>
      </c>
      <c r="I221" s="1">
        <v>389340</v>
      </c>
      <c r="J221">
        <v>59</v>
      </c>
      <c r="K221" s="7">
        <f>Таблица1[[#This Row],[Штуки]]/SUMIFS(Таблица1[Штуки],Таблица1[Ветка],Таблица1[[#This Row],[Ветка]],Таблица1[Месяц],Таблица1[[#This Row],[Месяц]])</f>
        <v>0.46456692913385828</v>
      </c>
      <c r="L221" s="1">
        <v>21743871</v>
      </c>
      <c r="M221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0.43116796130189067</v>
      </c>
      <c r="N221" t="s">
        <v>23</v>
      </c>
      <c r="O221">
        <v>3</v>
      </c>
      <c r="P221">
        <v>4.9000000000000004</v>
      </c>
      <c r="Q221">
        <v>46</v>
      </c>
      <c r="R221" t="s">
        <v>342</v>
      </c>
      <c r="S221">
        <v>200</v>
      </c>
      <c r="T221">
        <v>85</v>
      </c>
      <c r="U221">
        <v>76</v>
      </c>
      <c r="V221">
        <v>7</v>
      </c>
      <c r="W221">
        <v>-24</v>
      </c>
    </row>
    <row r="222" spans="1:23" x14ac:dyDescent="0.3">
      <c r="A222">
        <v>100018121</v>
      </c>
      <c r="B222" t="s">
        <v>343</v>
      </c>
      <c r="C222" t="s">
        <v>24</v>
      </c>
      <c r="D222" t="s">
        <v>25</v>
      </c>
      <c r="E222">
        <v>600</v>
      </c>
      <c r="F222" t="s">
        <v>356</v>
      </c>
      <c r="G222" t="s">
        <v>179</v>
      </c>
      <c r="H222" t="s">
        <v>235</v>
      </c>
      <c r="I222" s="1">
        <v>292320</v>
      </c>
      <c r="J222">
        <v>58</v>
      </c>
      <c r="K222" s="7">
        <f>Таблица1[[#This Row],[Штуки]]/SUMIFS(Таблица1[Штуки],Таблица1[Ветка],Таблица1[[#This Row],[Ветка]],Таблица1[Месяц],Таблица1[[#This Row],[Месяц]])</f>
        <v>0.65909090909090906</v>
      </c>
      <c r="L222" s="1">
        <v>16315860</v>
      </c>
      <c r="M222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0.62112656255157139</v>
      </c>
      <c r="N222" t="s">
        <v>23</v>
      </c>
      <c r="O222">
        <v>6</v>
      </c>
      <c r="P222">
        <v>4.7</v>
      </c>
      <c r="Q222">
        <v>146</v>
      </c>
      <c r="R222" t="s">
        <v>344</v>
      </c>
      <c r="S222">
        <v>203.5</v>
      </c>
      <c r="T222">
        <v>81</v>
      </c>
      <c r="U222">
        <v>66.5</v>
      </c>
      <c r="V222">
        <v>2</v>
      </c>
      <c r="W222">
        <v>-18</v>
      </c>
    </row>
    <row r="223" spans="1:23" x14ac:dyDescent="0.3">
      <c r="A223">
        <v>137446425</v>
      </c>
      <c r="B223" t="s">
        <v>341</v>
      </c>
      <c r="C223" t="s">
        <v>32</v>
      </c>
      <c r="D223" t="s">
        <v>20</v>
      </c>
      <c r="E223">
        <v>500</v>
      </c>
      <c r="F223" t="s">
        <v>355</v>
      </c>
      <c r="G223" t="s">
        <v>183</v>
      </c>
      <c r="H223" t="s">
        <v>235</v>
      </c>
      <c r="I223" s="1">
        <v>291750</v>
      </c>
      <c r="J223">
        <v>35</v>
      </c>
      <c r="K223" s="7">
        <f>Таблица1[[#This Row],[Штуки]]/SUMIFS(Таблица1[Штуки],Таблица1[Ветка],Таблица1[[#This Row],[Ветка]],Таблица1[Месяц],Таблица1[[#This Row],[Месяц]])</f>
        <v>0.20710059171597633</v>
      </c>
      <c r="L223" s="1">
        <v>10414929</v>
      </c>
      <c r="M223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0.21359756390061302</v>
      </c>
      <c r="N223" t="s">
        <v>23</v>
      </c>
      <c r="O223">
        <v>3</v>
      </c>
      <c r="P223">
        <v>4.9000000000000004</v>
      </c>
      <c r="Q223">
        <v>25</v>
      </c>
      <c r="R223" t="s">
        <v>342</v>
      </c>
      <c r="S223">
        <v>150</v>
      </c>
      <c r="T223">
        <v>85</v>
      </c>
      <c r="U223">
        <v>76</v>
      </c>
      <c r="V223">
        <v>5</v>
      </c>
      <c r="W223">
        <v>-24</v>
      </c>
    </row>
    <row r="224" spans="1:23" x14ac:dyDescent="0.3">
      <c r="A224">
        <v>2800664</v>
      </c>
      <c r="B224" t="s">
        <v>343</v>
      </c>
      <c r="C224" t="s">
        <v>27</v>
      </c>
      <c r="D224" t="s">
        <v>25</v>
      </c>
      <c r="E224">
        <v>510</v>
      </c>
      <c r="F224" t="s">
        <v>355</v>
      </c>
      <c r="G224" t="s">
        <v>179</v>
      </c>
      <c r="H224" t="s">
        <v>235</v>
      </c>
      <c r="I224" s="1">
        <v>260200</v>
      </c>
      <c r="J224">
        <v>39</v>
      </c>
      <c r="K224" s="7">
        <f>Таблица1[[#This Row],[Штуки]]/SUMIFS(Таблица1[Штуки],Таблица1[Ветка],Таблица1[[#This Row],[Ветка]],Таблица1[Месяц],Таблица1[[#This Row],[Месяц]])</f>
        <v>0.23076923076923078</v>
      </c>
      <c r="L224" s="1">
        <v>10180643</v>
      </c>
      <c r="M224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0.20879264215260887</v>
      </c>
      <c r="N224" t="s">
        <v>23</v>
      </c>
      <c r="O224">
        <v>14</v>
      </c>
      <c r="P224">
        <v>4.8</v>
      </c>
      <c r="Q224">
        <v>192</v>
      </c>
      <c r="R224" t="s">
        <v>344</v>
      </c>
      <c r="S224">
        <v>179</v>
      </c>
      <c r="T224">
        <v>81</v>
      </c>
      <c r="U224">
        <v>66</v>
      </c>
      <c r="V224">
        <v>2</v>
      </c>
      <c r="W224">
        <v>-18</v>
      </c>
    </row>
    <row r="225" spans="1:23" x14ac:dyDescent="0.3">
      <c r="A225">
        <v>137444929</v>
      </c>
      <c r="B225" t="s">
        <v>341</v>
      </c>
      <c r="C225" t="s">
        <v>19</v>
      </c>
      <c r="D225" t="s">
        <v>20</v>
      </c>
      <c r="E225">
        <v>100</v>
      </c>
      <c r="F225" t="s">
        <v>351</v>
      </c>
      <c r="G225" t="s">
        <v>177</v>
      </c>
      <c r="H225" t="s">
        <v>235</v>
      </c>
      <c r="I225" s="1">
        <v>700000</v>
      </c>
      <c r="J225">
        <v>18</v>
      </c>
      <c r="K225" s="7">
        <f>Таблица1[[#This Row],[Штуки]]/SUMIFS(Таблица1[Штуки],Таблица1[Ветка],Таблица1[[#This Row],[Ветка]],Таблица1[Месяц],Таблица1[[#This Row],[Месяц]])</f>
        <v>0.24324324324324326</v>
      </c>
      <c r="L225" s="1">
        <v>10018206</v>
      </c>
      <c r="M225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0.3583171999127438</v>
      </c>
      <c r="N225" t="s">
        <v>23</v>
      </c>
      <c r="O225">
        <v>1</v>
      </c>
      <c r="P225">
        <v>4.9000000000000004</v>
      </c>
      <c r="Q225">
        <v>39</v>
      </c>
      <c r="R225" t="s">
        <v>342</v>
      </c>
      <c r="S225">
        <v>250</v>
      </c>
      <c r="T225">
        <v>85</v>
      </c>
      <c r="U225">
        <v>76</v>
      </c>
      <c r="V225">
        <v>9</v>
      </c>
      <c r="W225">
        <v>-18</v>
      </c>
    </row>
    <row r="226" spans="1:23" x14ac:dyDescent="0.3">
      <c r="A226">
        <v>121978926</v>
      </c>
      <c r="B226" t="s">
        <v>341</v>
      </c>
      <c r="C226" t="s">
        <v>72</v>
      </c>
      <c r="D226" t="s">
        <v>30</v>
      </c>
      <c r="E226">
        <v>328</v>
      </c>
      <c r="F226" t="s">
        <v>353</v>
      </c>
      <c r="G226" t="s">
        <v>179</v>
      </c>
      <c r="H226" t="s">
        <v>235</v>
      </c>
      <c r="I226" s="1">
        <v>204900</v>
      </c>
      <c r="J226">
        <v>47</v>
      </c>
      <c r="K226" s="7">
        <f>Таблица1[[#This Row],[Штуки]]/SUMIFS(Таблица1[Штуки],Таблица1[Ветка],Таблица1[[#This Row],[Ветка]],Таблица1[Месяц],Таблица1[[#This Row],[Месяц]])</f>
        <v>0.34057971014492755</v>
      </c>
      <c r="L226" s="1">
        <v>9321306</v>
      </c>
      <c r="M226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0.33150127485635594</v>
      </c>
      <c r="N226" t="s">
        <v>23</v>
      </c>
      <c r="O226">
        <v>2</v>
      </c>
      <c r="P226">
        <v>4.9000000000000004</v>
      </c>
      <c r="Q226">
        <v>138</v>
      </c>
      <c r="R226" t="s">
        <v>344</v>
      </c>
      <c r="S226">
        <v>124</v>
      </c>
      <c r="T226">
        <v>82.6</v>
      </c>
      <c r="U226">
        <v>69.3</v>
      </c>
      <c r="V226">
        <v>4</v>
      </c>
      <c r="W226">
        <v>-18</v>
      </c>
    </row>
    <row r="227" spans="1:23" x14ac:dyDescent="0.3">
      <c r="A227">
        <v>121978898</v>
      </c>
      <c r="B227" t="s">
        <v>341</v>
      </c>
      <c r="C227" t="s">
        <v>29</v>
      </c>
      <c r="D227" t="s">
        <v>30</v>
      </c>
      <c r="E227">
        <v>718</v>
      </c>
      <c r="F227" t="s">
        <v>357</v>
      </c>
      <c r="G227" t="s">
        <v>180</v>
      </c>
      <c r="H227" t="s">
        <v>235</v>
      </c>
      <c r="I227" s="1">
        <v>424980</v>
      </c>
      <c r="J227">
        <v>18</v>
      </c>
      <c r="K227" s="7">
        <f>Таблица1[[#This Row],[Штуки]]/SUMIFS(Таблица1[Штуки],Таблица1[Ветка],Таблица1[[#This Row],[Ветка]],Таблица1[Месяц],Таблица1[[#This Row],[Месяц]])</f>
        <v>0.14173228346456693</v>
      </c>
      <c r="L227" s="1">
        <v>7708766</v>
      </c>
      <c r="M227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0.1528602207202816</v>
      </c>
      <c r="N227" t="s">
        <v>23</v>
      </c>
      <c r="O227">
        <v>6</v>
      </c>
      <c r="P227">
        <v>4.9000000000000004</v>
      </c>
      <c r="Q227">
        <v>124</v>
      </c>
      <c r="R227" t="s">
        <v>344</v>
      </c>
      <c r="S227">
        <v>200</v>
      </c>
      <c r="T227">
        <v>86</v>
      </c>
      <c r="U227">
        <v>75.7</v>
      </c>
      <c r="V227">
        <v>6</v>
      </c>
      <c r="W227">
        <v>-18</v>
      </c>
    </row>
    <row r="228" spans="1:23" x14ac:dyDescent="0.3">
      <c r="A228">
        <v>121978941</v>
      </c>
      <c r="B228" t="s">
        <v>341</v>
      </c>
      <c r="C228" t="s">
        <v>47</v>
      </c>
      <c r="D228" t="s">
        <v>30</v>
      </c>
      <c r="E228">
        <v>268</v>
      </c>
      <c r="F228" t="s">
        <v>352</v>
      </c>
      <c r="G228" t="s">
        <v>182</v>
      </c>
      <c r="H228" t="s">
        <v>235</v>
      </c>
      <c r="I228" s="1">
        <v>172900</v>
      </c>
      <c r="J228">
        <v>43</v>
      </c>
      <c r="K228" s="7">
        <f>Таблица1[[#This Row],[Штуки]]/SUMIFS(Таблица1[Штуки],Таблица1[Ветка],Таблица1[[#This Row],[Ветка]],Таблица1[Месяц],Таблица1[[#This Row],[Месяц]])</f>
        <v>0.58108108108108103</v>
      </c>
      <c r="L228" s="1">
        <v>7371869</v>
      </c>
      <c r="M228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0.58477899213152085</v>
      </c>
      <c r="N228" t="s">
        <v>23</v>
      </c>
      <c r="O228">
        <v>2</v>
      </c>
      <c r="P228">
        <v>4.9000000000000004</v>
      </c>
      <c r="Q228">
        <v>61</v>
      </c>
      <c r="R228" t="s">
        <v>344</v>
      </c>
      <c r="S228">
        <v>109.5</v>
      </c>
      <c r="T228">
        <v>85</v>
      </c>
      <c r="U228">
        <v>60</v>
      </c>
      <c r="V228">
        <v>3</v>
      </c>
      <c r="W228">
        <v>-18</v>
      </c>
    </row>
    <row r="229" spans="1:23" x14ac:dyDescent="0.3">
      <c r="A229">
        <v>148881342</v>
      </c>
      <c r="B229" t="s">
        <v>341</v>
      </c>
      <c r="C229" t="s">
        <v>110</v>
      </c>
      <c r="D229" t="s">
        <v>84</v>
      </c>
      <c r="E229">
        <v>125</v>
      </c>
      <c r="F229" t="s">
        <v>351</v>
      </c>
      <c r="G229" t="s">
        <v>180</v>
      </c>
      <c r="H229" t="s">
        <v>235</v>
      </c>
      <c r="I229" s="1">
        <v>556000</v>
      </c>
      <c r="J229">
        <v>12</v>
      </c>
      <c r="K229" s="7">
        <f>Таблица1[[#This Row],[Штуки]]/SUMIFS(Таблица1[Штуки],Таблица1[Ветка],Таблица1[[#This Row],[Ветка]],Таблица1[Месяц],Таблица1[[#This Row],[Месяц]])</f>
        <v>0.16216216216216217</v>
      </c>
      <c r="L229" s="1">
        <v>6751329</v>
      </c>
      <c r="M229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0.24147210618045833</v>
      </c>
      <c r="N229" t="s">
        <v>23</v>
      </c>
      <c r="O229">
        <v>1</v>
      </c>
      <c r="P229">
        <v>5</v>
      </c>
      <c r="Q229">
        <v>4</v>
      </c>
      <c r="R229" t="s">
        <v>342</v>
      </c>
      <c r="S229">
        <v>250</v>
      </c>
      <c r="T229">
        <v>84</v>
      </c>
      <c r="U229">
        <v>75</v>
      </c>
      <c r="V229">
        <v>9</v>
      </c>
      <c r="W229">
        <v>-22</v>
      </c>
    </row>
    <row r="230" spans="1:23" x14ac:dyDescent="0.3">
      <c r="A230">
        <v>140700154</v>
      </c>
      <c r="B230" t="s">
        <v>341</v>
      </c>
      <c r="C230" t="s">
        <v>208</v>
      </c>
      <c r="D230" t="s">
        <v>165</v>
      </c>
      <c r="E230">
        <v>338</v>
      </c>
      <c r="F230" t="s">
        <v>353</v>
      </c>
      <c r="G230" t="s">
        <v>180</v>
      </c>
      <c r="H230" t="s">
        <v>235</v>
      </c>
      <c r="I230" s="1">
        <v>199000</v>
      </c>
      <c r="J230">
        <v>31</v>
      </c>
      <c r="K230" s="7">
        <f>Таблица1[[#This Row],[Штуки]]/SUMIFS(Таблица1[Штуки],Таблица1[Ветка],Таблица1[[#This Row],[Ветка]],Таблица1[Месяц],Таблица1[[#This Row],[Месяц]])</f>
        <v>0.22463768115942029</v>
      </c>
      <c r="L230" s="1">
        <v>6314973</v>
      </c>
      <c r="M230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0.2245845807640546</v>
      </c>
      <c r="N230" t="s">
        <v>23</v>
      </c>
      <c r="O230">
        <v>4</v>
      </c>
      <c r="P230">
        <v>5</v>
      </c>
      <c r="Q230">
        <v>19</v>
      </c>
      <c r="R230" t="s">
        <v>344</v>
      </c>
      <c r="S230">
        <v>130</v>
      </c>
      <c r="T230">
        <v>86</v>
      </c>
      <c r="U230">
        <v>65</v>
      </c>
      <c r="V230">
        <v>5</v>
      </c>
      <c r="W230">
        <v>-25</v>
      </c>
    </row>
    <row r="231" spans="1:23" x14ac:dyDescent="0.3">
      <c r="A231">
        <v>117503807</v>
      </c>
      <c r="B231" t="s">
        <v>341</v>
      </c>
      <c r="C231" t="s">
        <v>43</v>
      </c>
      <c r="D231" t="s">
        <v>44</v>
      </c>
      <c r="E231">
        <v>700</v>
      </c>
      <c r="F231" t="s">
        <v>357</v>
      </c>
      <c r="G231" t="s">
        <v>180</v>
      </c>
      <c r="H231" t="s">
        <v>235</v>
      </c>
      <c r="I231" s="1">
        <v>393935</v>
      </c>
      <c r="J231">
        <v>11</v>
      </c>
      <c r="K231" s="7">
        <f>Таблица1[[#This Row],[Штуки]]/SUMIFS(Таблица1[Штуки],Таблица1[Ветка],Таблица1[[#This Row],[Ветка]],Таблица1[Месяц],Таблица1[[#This Row],[Месяц]])</f>
        <v>8.6614173228346455E-2</v>
      </c>
      <c r="L231" s="1">
        <v>4479622</v>
      </c>
      <c r="M231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8.8828225900673255E-2</v>
      </c>
      <c r="N231" t="s">
        <v>23</v>
      </c>
      <c r="O231">
        <v>3</v>
      </c>
      <c r="P231">
        <v>4.9000000000000004</v>
      </c>
      <c r="Q231">
        <v>7</v>
      </c>
      <c r="R231" t="s">
        <v>345</v>
      </c>
      <c r="S231">
        <v>200</v>
      </c>
      <c r="T231">
        <v>85</v>
      </c>
      <c r="U231">
        <v>75</v>
      </c>
      <c r="V231">
        <v>7</v>
      </c>
      <c r="W231">
        <v>-24</v>
      </c>
    </row>
    <row r="232" spans="1:23" x14ac:dyDescent="0.3">
      <c r="A232">
        <v>120039135</v>
      </c>
      <c r="B232" t="s">
        <v>341</v>
      </c>
      <c r="C232" t="s">
        <v>175</v>
      </c>
      <c r="D232" t="s">
        <v>93</v>
      </c>
      <c r="E232">
        <v>280</v>
      </c>
      <c r="F232" t="s">
        <v>352</v>
      </c>
      <c r="G232" t="s">
        <v>193</v>
      </c>
      <c r="H232" t="s">
        <v>235</v>
      </c>
      <c r="I232" s="1">
        <v>179990</v>
      </c>
      <c r="J232">
        <v>25</v>
      </c>
      <c r="K232" s="7">
        <f>Таблица1[[#This Row],[Штуки]]/SUMIFS(Таблица1[Штуки],Таблица1[Ветка],Таблица1[[#This Row],[Ветка]],Таблица1[Месяц],Таблица1[[#This Row],[Месяц]])</f>
        <v>0.33783783783783783</v>
      </c>
      <c r="L232" s="1">
        <v>4115529</v>
      </c>
      <c r="M232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0.3264673993403906</v>
      </c>
      <c r="N232" t="s">
        <v>23</v>
      </c>
      <c r="O232">
        <v>1</v>
      </c>
      <c r="P232">
        <v>4.9000000000000004</v>
      </c>
      <c r="Q232">
        <v>17</v>
      </c>
      <c r="R232" t="s">
        <v>342</v>
      </c>
      <c r="S232">
        <v>69</v>
      </c>
      <c r="T232">
        <v>90</v>
      </c>
      <c r="U232">
        <v>102</v>
      </c>
      <c r="V232">
        <v>4</v>
      </c>
      <c r="W232">
        <v>-24</v>
      </c>
    </row>
    <row r="233" spans="1:23" x14ac:dyDescent="0.3">
      <c r="A233">
        <v>113954312</v>
      </c>
      <c r="B233" t="s">
        <v>343</v>
      </c>
      <c r="C233" t="s">
        <v>45</v>
      </c>
      <c r="D233" t="s">
        <v>46</v>
      </c>
      <c r="E233">
        <v>516</v>
      </c>
      <c r="F233" t="s">
        <v>355</v>
      </c>
      <c r="G233" t="s">
        <v>179</v>
      </c>
      <c r="H233" t="s">
        <v>235</v>
      </c>
      <c r="I233" s="1">
        <v>369990</v>
      </c>
      <c r="J233">
        <v>13</v>
      </c>
      <c r="K233" s="7">
        <f>Таблица1[[#This Row],[Штуки]]/SUMIFS(Таблица1[Штуки],Таблица1[Ветка],Таблица1[[#This Row],[Ветка]],Таблица1[Месяц],Таблица1[[#This Row],[Месяц]])</f>
        <v>7.6923076923076927E-2</v>
      </c>
      <c r="L233" s="1">
        <v>4011086</v>
      </c>
      <c r="M233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8.2262509729625066E-2</v>
      </c>
      <c r="N233" t="s">
        <v>23</v>
      </c>
      <c r="O233">
        <v>3</v>
      </c>
      <c r="P233">
        <v>5</v>
      </c>
      <c r="Q233">
        <v>34</v>
      </c>
      <c r="R233" t="s">
        <v>344</v>
      </c>
      <c r="S233">
        <v>165</v>
      </c>
      <c r="T233">
        <v>84.5</v>
      </c>
      <c r="U233">
        <v>74.5</v>
      </c>
      <c r="V233">
        <v>0</v>
      </c>
      <c r="W233">
        <v>-29</v>
      </c>
    </row>
    <row r="234" spans="1:23" x14ac:dyDescent="0.3">
      <c r="A234">
        <v>138886743</v>
      </c>
      <c r="B234" t="s">
        <v>346</v>
      </c>
      <c r="C234" t="s">
        <v>99</v>
      </c>
      <c r="D234" t="s">
        <v>100</v>
      </c>
      <c r="E234">
        <v>120</v>
      </c>
      <c r="F234" t="s">
        <v>351</v>
      </c>
      <c r="G234" t="s">
        <v>196</v>
      </c>
      <c r="H234" t="s">
        <v>235</v>
      </c>
      <c r="I234" s="1">
        <v>539065</v>
      </c>
      <c r="J234">
        <v>7</v>
      </c>
      <c r="K234" s="7">
        <f>Таблица1[[#This Row],[Штуки]]/SUMIFS(Таблица1[Штуки],Таблица1[Ветка],Таблица1[[#This Row],[Ветка]],Таблица1[Месяц],Таблица1[[#This Row],[Месяц]])</f>
        <v>9.45945945945946E-2</v>
      </c>
      <c r="L234" s="1">
        <v>3953849</v>
      </c>
      <c r="M234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0.14141574874361759</v>
      </c>
      <c r="N234" t="s">
        <v>23</v>
      </c>
      <c r="O234">
        <v>3</v>
      </c>
      <c r="P234">
        <v>5</v>
      </c>
      <c r="Q234">
        <v>3</v>
      </c>
      <c r="R234" t="s">
        <v>342</v>
      </c>
      <c r="S234">
        <v>120</v>
      </c>
      <c r="T234">
        <v>196</v>
      </c>
      <c r="U234">
        <v>76</v>
      </c>
      <c r="V234">
        <v>0</v>
      </c>
      <c r="W234">
        <v>-14</v>
      </c>
    </row>
    <row r="235" spans="1:23" x14ac:dyDescent="0.3">
      <c r="A235">
        <v>141507444</v>
      </c>
      <c r="B235" t="s">
        <v>341</v>
      </c>
      <c r="C235" t="s">
        <v>37</v>
      </c>
      <c r="D235" t="s">
        <v>38</v>
      </c>
      <c r="E235">
        <v>318</v>
      </c>
      <c r="F235" t="s">
        <v>353</v>
      </c>
      <c r="G235" t="s">
        <v>180</v>
      </c>
      <c r="H235" t="s">
        <v>235</v>
      </c>
      <c r="I235" s="1">
        <v>550000</v>
      </c>
      <c r="J235">
        <v>18</v>
      </c>
      <c r="K235" s="7">
        <f>Таблица1[[#This Row],[Штуки]]/SUMIFS(Таблица1[Штуки],Таблица1[Ветка],Таблица1[[#This Row],[Ветка]],Таблица1[Месяц],Таблица1[[#This Row],[Месяц]])</f>
        <v>0.13043478260869565</v>
      </c>
      <c r="L235" s="1">
        <v>3564403</v>
      </c>
      <c r="M235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0.12676379668276308</v>
      </c>
      <c r="N235" t="s">
        <v>23</v>
      </c>
      <c r="O235">
        <v>3</v>
      </c>
      <c r="P235">
        <v>4.9000000000000004</v>
      </c>
      <c r="Q235">
        <v>20</v>
      </c>
      <c r="R235" t="s">
        <v>344</v>
      </c>
      <c r="S235">
        <v>129.4</v>
      </c>
      <c r="T235">
        <v>83</v>
      </c>
      <c r="U235">
        <v>59.8</v>
      </c>
      <c r="V235">
        <v>5</v>
      </c>
      <c r="W235">
        <v>-18</v>
      </c>
    </row>
    <row r="236" spans="1:23" x14ac:dyDescent="0.3">
      <c r="A236">
        <v>120309401</v>
      </c>
      <c r="B236" t="s">
        <v>343</v>
      </c>
      <c r="C236" t="s">
        <v>79</v>
      </c>
      <c r="D236" t="s">
        <v>30</v>
      </c>
      <c r="E236">
        <v>550</v>
      </c>
      <c r="F236" t="s">
        <v>355</v>
      </c>
      <c r="G236" t="s">
        <v>179</v>
      </c>
      <c r="H236" t="s">
        <v>235</v>
      </c>
      <c r="I236" s="1">
        <v>274990</v>
      </c>
      <c r="J236">
        <v>11</v>
      </c>
      <c r="K236" s="7">
        <f>Таблица1[[#This Row],[Штуки]]/SUMIFS(Таблица1[Штуки],Таблица1[Ветка],Таблица1[[#This Row],[Ветка]],Таблица1[Месяц],Таблица1[[#This Row],[Месяц]])</f>
        <v>6.5088757396449703E-2</v>
      </c>
      <c r="L236" s="1">
        <v>3052981</v>
      </c>
      <c r="M236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6.2612938046419472E-2</v>
      </c>
      <c r="N236" t="s">
        <v>23</v>
      </c>
      <c r="O236">
        <v>3</v>
      </c>
      <c r="P236">
        <v>5</v>
      </c>
      <c r="Q236">
        <v>50</v>
      </c>
      <c r="R236" t="s">
        <v>344</v>
      </c>
      <c r="S236">
        <v>165</v>
      </c>
      <c r="T236">
        <v>83.5</v>
      </c>
      <c r="U236">
        <v>73</v>
      </c>
      <c r="V236">
        <v>2</v>
      </c>
      <c r="W236">
        <v>-18</v>
      </c>
    </row>
    <row r="237" spans="1:23" x14ac:dyDescent="0.3">
      <c r="A237">
        <v>157671625</v>
      </c>
      <c r="B237" t="s">
        <v>341</v>
      </c>
      <c r="C237" t="s">
        <v>187</v>
      </c>
      <c r="D237" t="s">
        <v>74</v>
      </c>
      <c r="E237">
        <v>540</v>
      </c>
      <c r="F237" t="s">
        <v>355</v>
      </c>
      <c r="G237" t="s">
        <v>179</v>
      </c>
      <c r="H237" t="s">
        <v>235</v>
      </c>
      <c r="I237" s="1">
        <v>298990</v>
      </c>
      <c r="J237">
        <v>11</v>
      </c>
      <c r="K237" s="7">
        <f>Таблица1[[#This Row],[Штуки]]/SUMIFS(Таблица1[Штуки],Таблица1[Ветка],Таблица1[[#This Row],[Ветка]],Таблица1[Месяц],Таблица1[[#This Row],[Месяц]])</f>
        <v>6.5088757396449703E-2</v>
      </c>
      <c r="L237" s="1">
        <v>3052119</v>
      </c>
      <c r="M237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6.2595259471742451E-2</v>
      </c>
      <c r="N237" t="s">
        <v>23</v>
      </c>
      <c r="O237">
        <v>2</v>
      </c>
      <c r="P237">
        <v>5</v>
      </c>
      <c r="Q237">
        <v>4</v>
      </c>
      <c r="R237" t="s">
        <v>344</v>
      </c>
      <c r="S237">
        <v>150</v>
      </c>
      <c r="T237">
        <v>85</v>
      </c>
      <c r="U237">
        <v>70</v>
      </c>
      <c r="V237">
        <v>7</v>
      </c>
      <c r="W237">
        <v>-20</v>
      </c>
    </row>
    <row r="238" spans="1:23" x14ac:dyDescent="0.3">
      <c r="A238">
        <v>141583677</v>
      </c>
      <c r="B238" t="s">
        <v>343</v>
      </c>
      <c r="C238" t="s">
        <v>143</v>
      </c>
      <c r="D238" t="s">
        <v>38</v>
      </c>
      <c r="E238">
        <v>660</v>
      </c>
      <c r="F238" t="s">
        <v>356</v>
      </c>
      <c r="G238" t="s">
        <v>180</v>
      </c>
      <c r="H238" t="s">
        <v>235</v>
      </c>
      <c r="I238" s="1">
        <v>263990</v>
      </c>
      <c r="J238">
        <v>11</v>
      </c>
      <c r="K238" s="7">
        <f>Таблица1[[#This Row],[Штуки]]/SUMIFS(Таблица1[Штуки],Таблица1[Ветка],Таблица1[[#This Row],[Ветка]],Таблица1[Месяц],Таблица1[[#This Row],[Месяц]])</f>
        <v>0.125</v>
      </c>
      <c r="L238" s="1">
        <v>2945301</v>
      </c>
      <c r="M238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0.112124318657411</v>
      </c>
      <c r="N238" t="s">
        <v>23</v>
      </c>
      <c r="O238">
        <v>1</v>
      </c>
      <c r="P238">
        <v>4.7</v>
      </c>
      <c r="Q238">
        <v>11</v>
      </c>
      <c r="R238" t="s">
        <v>344</v>
      </c>
      <c r="S238">
        <v>180</v>
      </c>
      <c r="T238">
        <v>84</v>
      </c>
      <c r="U238">
        <v>67.400000000000006</v>
      </c>
      <c r="V238">
        <v>2</v>
      </c>
      <c r="W238">
        <v>-24</v>
      </c>
    </row>
    <row r="239" spans="1:23" x14ac:dyDescent="0.3">
      <c r="A239">
        <v>116138932</v>
      </c>
      <c r="B239" t="s">
        <v>341</v>
      </c>
      <c r="C239" t="s">
        <v>164</v>
      </c>
      <c r="D239" t="s">
        <v>165</v>
      </c>
      <c r="E239">
        <v>338</v>
      </c>
      <c r="F239" t="s">
        <v>353</v>
      </c>
      <c r="G239" t="s">
        <v>185</v>
      </c>
      <c r="H239" t="s">
        <v>235</v>
      </c>
      <c r="I239" s="1">
        <v>199000</v>
      </c>
      <c r="J239">
        <v>14</v>
      </c>
      <c r="K239" s="7">
        <f>Таблица1[[#This Row],[Штуки]]/SUMIFS(Таблица1[Штуки],Таблица1[Ветка],Таблица1[[#This Row],[Ветка]],Таблица1[Месяц],Таблица1[[#This Row],[Месяц]])</f>
        <v>0.10144927536231885</v>
      </c>
      <c r="L239" s="1">
        <v>2825299</v>
      </c>
      <c r="M239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0.10047843299537507</v>
      </c>
      <c r="N239" t="s">
        <v>23</v>
      </c>
      <c r="O239">
        <v>2</v>
      </c>
      <c r="P239">
        <v>5</v>
      </c>
      <c r="Q239">
        <v>81</v>
      </c>
      <c r="R239" t="s">
        <v>344</v>
      </c>
      <c r="S239">
        <v>130</v>
      </c>
      <c r="T239">
        <v>85</v>
      </c>
      <c r="U239">
        <v>65</v>
      </c>
      <c r="V239">
        <v>5</v>
      </c>
      <c r="W239">
        <v>-24</v>
      </c>
    </row>
    <row r="240" spans="1:23" x14ac:dyDescent="0.3">
      <c r="A240">
        <v>141583649</v>
      </c>
      <c r="B240" t="s">
        <v>343</v>
      </c>
      <c r="C240" t="s">
        <v>119</v>
      </c>
      <c r="D240" t="s">
        <v>38</v>
      </c>
      <c r="E240">
        <v>560</v>
      </c>
      <c r="F240" t="s">
        <v>355</v>
      </c>
      <c r="G240" t="s">
        <v>180</v>
      </c>
      <c r="H240" t="s">
        <v>235</v>
      </c>
      <c r="I240" s="1">
        <v>258990</v>
      </c>
      <c r="J240">
        <v>12</v>
      </c>
      <c r="K240" s="7">
        <f>Таблица1[[#This Row],[Штуки]]/SUMIFS(Таблица1[Штуки],Таблица1[Ветка],Таблица1[[#This Row],[Ветка]],Таблица1[Месяц],Таблица1[[#This Row],[Месяц]])</f>
        <v>7.1005917159763315E-2</v>
      </c>
      <c r="L240" s="1">
        <v>2792299</v>
      </c>
      <c r="M240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5.7266666348096837E-2</v>
      </c>
      <c r="N240" t="s">
        <v>23</v>
      </c>
      <c r="O240">
        <v>1</v>
      </c>
      <c r="P240">
        <v>4.7</v>
      </c>
      <c r="Q240">
        <v>21</v>
      </c>
      <c r="R240" t="s">
        <v>344</v>
      </c>
      <c r="S240">
        <v>160</v>
      </c>
      <c r="T240">
        <v>84</v>
      </c>
      <c r="U240">
        <v>67.400000000000006</v>
      </c>
      <c r="V240">
        <v>2</v>
      </c>
      <c r="W240">
        <v>-24</v>
      </c>
    </row>
    <row r="241" spans="1:23" x14ac:dyDescent="0.3">
      <c r="A241">
        <v>145145984</v>
      </c>
      <c r="B241" t="s">
        <v>343</v>
      </c>
      <c r="C241" t="s">
        <v>236</v>
      </c>
      <c r="D241" t="s">
        <v>30</v>
      </c>
      <c r="E241">
        <v>1080</v>
      </c>
      <c r="F241" t="s">
        <v>360</v>
      </c>
      <c r="G241" t="s">
        <v>179</v>
      </c>
      <c r="H241" t="s">
        <v>235</v>
      </c>
      <c r="I241" s="1">
        <v>649900</v>
      </c>
      <c r="J241">
        <v>6</v>
      </c>
      <c r="K241" s="7">
        <f>Таблица1[[#This Row],[Штуки]]/SUMIFS(Таблица1[Штуки],Таблица1[Ветка],Таблица1[[#This Row],[Ветка]],Таблица1[Месяц],Таблица1[[#This Row],[Месяц]])</f>
        <v>0.54545454545454541</v>
      </c>
      <c r="L241" s="1">
        <v>2740556</v>
      </c>
      <c r="M241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0.50234422514826227</v>
      </c>
      <c r="N241" t="s">
        <v>23</v>
      </c>
      <c r="O241">
        <v>1</v>
      </c>
      <c r="P241">
        <v>5</v>
      </c>
      <c r="Q241">
        <v>7</v>
      </c>
      <c r="R241" t="s">
        <v>344</v>
      </c>
      <c r="S241">
        <v>260</v>
      </c>
      <c r="T241">
        <v>93.5</v>
      </c>
      <c r="U241">
        <v>86.4</v>
      </c>
      <c r="V241">
        <v>1</v>
      </c>
      <c r="W241">
        <v>-35</v>
      </c>
    </row>
    <row r="242" spans="1:23" x14ac:dyDescent="0.3">
      <c r="A242">
        <v>145109215</v>
      </c>
      <c r="B242" t="s">
        <v>341</v>
      </c>
      <c r="C242" t="s">
        <v>40</v>
      </c>
      <c r="D242" t="s">
        <v>41</v>
      </c>
      <c r="E242">
        <v>1240</v>
      </c>
      <c r="F242" t="s">
        <v>362</v>
      </c>
      <c r="G242" t="s">
        <v>186</v>
      </c>
      <c r="H242" t="s">
        <v>235</v>
      </c>
      <c r="I242" s="1">
        <v>523699</v>
      </c>
      <c r="J242">
        <v>5</v>
      </c>
      <c r="K242" s="7">
        <f>Таблица1[[#This Row],[Штуки]]/SUMIFS(Таблица1[Штуки],Таблица1[Ветка],Таблица1[[#This Row],[Ветка]],Таблица1[Месяц],Таблица1[[#This Row],[Месяц]])</f>
        <v>0.625</v>
      </c>
      <c r="L242" s="1">
        <v>2687104</v>
      </c>
      <c r="M242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0.54623673313068943</v>
      </c>
      <c r="N242" t="s">
        <v>23</v>
      </c>
      <c r="O242">
        <v>1</v>
      </c>
      <c r="P242">
        <v>4.8</v>
      </c>
      <c r="Q242">
        <v>3</v>
      </c>
      <c r="R242" t="s">
        <v>342</v>
      </c>
      <c r="S242">
        <v>250</v>
      </c>
      <c r="T242">
        <v>80</v>
      </c>
      <c r="U242">
        <v>76</v>
      </c>
      <c r="V242">
        <v>9</v>
      </c>
      <c r="W242">
        <v>-25</v>
      </c>
    </row>
    <row r="243" spans="1:23" x14ac:dyDescent="0.3">
      <c r="A243">
        <v>110653507</v>
      </c>
      <c r="B243" t="s">
        <v>341</v>
      </c>
      <c r="C243" t="s">
        <v>237</v>
      </c>
      <c r="D243" t="s">
        <v>81</v>
      </c>
      <c r="E243">
        <v>1100</v>
      </c>
      <c r="F243" t="s">
        <v>361</v>
      </c>
      <c r="G243" t="s">
        <v>199</v>
      </c>
      <c r="H243" t="s">
        <v>235</v>
      </c>
      <c r="I243" s="1">
        <v>1350000</v>
      </c>
      <c r="J243">
        <v>2</v>
      </c>
      <c r="K243" s="7">
        <f>Таблица1[[#This Row],[Штуки]]/SUMIFS(Таблица1[Штуки],Таблица1[Ветка],Таблица1[[#This Row],[Ветка]],Таблица1[Месяц],Таблица1[[#This Row],[Месяц]])</f>
        <v>0.2857142857142857</v>
      </c>
      <c r="L243" s="1">
        <v>2550000</v>
      </c>
      <c r="M243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0.50401123767173683</v>
      </c>
      <c r="N243" t="s">
        <v>23</v>
      </c>
      <c r="O243">
        <v>1</v>
      </c>
      <c r="P243">
        <v>5</v>
      </c>
      <c r="Q243">
        <v>3</v>
      </c>
      <c r="R243" t="s">
        <v>344</v>
      </c>
      <c r="S243">
        <v>210</v>
      </c>
      <c r="T243">
        <v>85</v>
      </c>
      <c r="U243">
        <v>96</v>
      </c>
      <c r="V243">
        <v>6</v>
      </c>
      <c r="W243">
        <v>-25</v>
      </c>
    </row>
    <row r="244" spans="1:23" x14ac:dyDescent="0.3">
      <c r="A244">
        <v>116903955</v>
      </c>
      <c r="B244" t="s">
        <v>343</v>
      </c>
      <c r="C244" t="s">
        <v>75</v>
      </c>
      <c r="D244" t="s">
        <v>30</v>
      </c>
      <c r="E244">
        <v>750</v>
      </c>
      <c r="F244" t="s">
        <v>357</v>
      </c>
      <c r="G244" t="s">
        <v>179</v>
      </c>
      <c r="H244" t="s">
        <v>235</v>
      </c>
      <c r="I244" s="1">
        <v>309990</v>
      </c>
      <c r="J244">
        <v>7</v>
      </c>
      <c r="K244" s="7">
        <f>Таблица1[[#This Row],[Штуки]]/SUMIFS(Таблица1[Штуки],Таблица1[Ветка],Таблица1[[#This Row],[Ветка]],Таблица1[Месяц],Таблица1[[#This Row],[Месяц]])</f>
        <v>5.5118110236220472E-2</v>
      </c>
      <c r="L244" s="1">
        <v>2521992</v>
      </c>
      <c r="M244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5.0009593464736699E-2</v>
      </c>
      <c r="N244" t="s">
        <v>23</v>
      </c>
      <c r="O244">
        <v>1</v>
      </c>
      <c r="P244">
        <v>4.9000000000000004</v>
      </c>
      <c r="Q244">
        <v>22</v>
      </c>
      <c r="R244" t="s">
        <v>342</v>
      </c>
      <c r="S244">
        <v>188</v>
      </c>
      <c r="T244">
        <v>95.2</v>
      </c>
      <c r="U244">
        <v>73.5</v>
      </c>
      <c r="V244">
        <v>1</v>
      </c>
      <c r="W244">
        <v>-18</v>
      </c>
    </row>
    <row r="245" spans="1:23" x14ac:dyDescent="0.3">
      <c r="A245">
        <v>110555379</v>
      </c>
      <c r="B245" t="s">
        <v>341</v>
      </c>
      <c r="C245" t="s">
        <v>86</v>
      </c>
      <c r="D245" t="s">
        <v>87</v>
      </c>
      <c r="E245">
        <v>800</v>
      </c>
      <c r="F245" t="s">
        <v>358</v>
      </c>
      <c r="G245" t="s">
        <v>199</v>
      </c>
      <c r="H245" t="s">
        <v>235</v>
      </c>
      <c r="I245" s="1">
        <v>530000</v>
      </c>
      <c r="J245">
        <v>4</v>
      </c>
      <c r="K245" s="7">
        <f>Таблица1[[#This Row],[Штуки]]/SUMIFS(Таблица1[Штуки],Таблица1[Ветка],Таблица1[[#This Row],[Ветка]],Таблица1[Месяц],Таблица1[[#This Row],[Месяц]])</f>
        <v>0.14285714285714285</v>
      </c>
      <c r="L245" s="1">
        <v>2203718</v>
      </c>
      <c r="M245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0.1638350698306246</v>
      </c>
      <c r="N245" t="s">
        <v>23</v>
      </c>
      <c r="O245">
        <v>1</v>
      </c>
      <c r="P245">
        <v>4.8</v>
      </c>
      <c r="Q245">
        <v>41</v>
      </c>
      <c r="R245" t="s">
        <v>344</v>
      </c>
      <c r="S245">
        <v>200</v>
      </c>
      <c r="T245">
        <v>84</v>
      </c>
      <c r="U245">
        <v>60</v>
      </c>
      <c r="V245">
        <v>9</v>
      </c>
      <c r="W245">
        <v>-22</v>
      </c>
    </row>
    <row r="246" spans="1:23" x14ac:dyDescent="0.3">
      <c r="A246">
        <v>133958993</v>
      </c>
      <c r="B246" t="s">
        <v>341</v>
      </c>
      <c r="C246" t="s">
        <v>238</v>
      </c>
      <c r="D246" t="s">
        <v>46</v>
      </c>
      <c r="E246">
        <v>800</v>
      </c>
      <c r="F246" t="s">
        <v>358</v>
      </c>
      <c r="G246" t="s">
        <v>180</v>
      </c>
      <c r="H246" t="s">
        <v>235</v>
      </c>
      <c r="I246" s="1">
        <v>734368</v>
      </c>
      <c r="J246">
        <v>3</v>
      </c>
      <c r="K246" s="7">
        <f>Таблица1[[#This Row],[Штуки]]/SUMIFS(Таблица1[Штуки],Таблица1[Ветка],Таблица1[[#This Row],[Ветка]],Таблица1[Месяц],Таблица1[[#This Row],[Месяц]])</f>
        <v>0.10714285714285714</v>
      </c>
      <c r="L246" s="1">
        <v>2203104</v>
      </c>
      <c r="M246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0.1637894220967149</v>
      </c>
      <c r="N246" t="s">
        <v>57</v>
      </c>
      <c r="O246">
        <v>2</v>
      </c>
      <c r="P246">
        <v>5</v>
      </c>
      <c r="Q246">
        <v>0</v>
      </c>
      <c r="R246" t="s">
        <v>345</v>
      </c>
      <c r="S246">
        <v>250</v>
      </c>
      <c r="T246">
        <v>81</v>
      </c>
      <c r="U246">
        <v>86</v>
      </c>
      <c r="V246">
        <v>0</v>
      </c>
      <c r="W246">
        <v>0</v>
      </c>
    </row>
    <row r="247" spans="1:23" x14ac:dyDescent="0.3">
      <c r="A247">
        <v>121978911</v>
      </c>
      <c r="B247" t="s">
        <v>341</v>
      </c>
      <c r="C247" t="s">
        <v>63</v>
      </c>
      <c r="D247" t="s">
        <v>30</v>
      </c>
      <c r="E247">
        <v>518</v>
      </c>
      <c r="F247" t="s">
        <v>355</v>
      </c>
      <c r="G247" t="s">
        <v>180</v>
      </c>
      <c r="H247" t="s">
        <v>235</v>
      </c>
      <c r="I247" s="1">
        <v>309990</v>
      </c>
      <c r="J247">
        <v>6</v>
      </c>
      <c r="K247" s="7">
        <f>Таблица1[[#This Row],[Штуки]]/SUMIFS(Таблица1[Штуки],Таблица1[Ветка],Таблица1[[#This Row],[Ветка]],Таблица1[Месяц],Таблица1[[#This Row],[Месяц]])</f>
        <v>3.5502958579881658E-2</v>
      </c>
      <c r="L247" s="1">
        <v>2124082</v>
      </c>
      <c r="M247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4.356234600592495E-2</v>
      </c>
      <c r="N247" t="s">
        <v>23</v>
      </c>
      <c r="O247">
        <v>8</v>
      </c>
      <c r="P247">
        <v>4.9000000000000004</v>
      </c>
      <c r="Q247">
        <v>55</v>
      </c>
      <c r="R247" t="s">
        <v>344</v>
      </c>
      <c r="S247">
        <v>147.5</v>
      </c>
      <c r="T247">
        <v>86</v>
      </c>
      <c r="U247">
        <v>75.7</v>
      </c>
      <c r="V247">
        <v>4</v>
      </c>
      <c r="W247">
        <v>-18</v>
      </c>
    </row>
    <row r="248" spans="1:23" x14ac:dyDescent="0.3">
      <c r="A248">
        <v>108699680</v>
      </c>
      <c r="B248" t="s">
        <v>343</v>
      </c>
      <c r="C248" t="s">
        <v>190</v>
      </c>
      <c r="D248" t="s">
        <v>133</v>
      </c>
      <c r="E248">
        <v>850</v>
      </c>
      <c r="F248" t="s">
        <v>358</v>
      </c>
      <c r="G248" t="s">
        <v>179</v>
      </c>
      <c r="H248" t="s">
        <v>235</v>
      </c>
      <c r="I248" s="1">
        <v>379885</v>
      </c>
      <c r="J248">
        <v>5</v>
      </c>
      <c r="K248" s="7">
        <f>Таблица1[[#This Row],[Штуки]]/SUMIFS(Таблица1[Штуки],Таблица1[Ветка],Таблица1[[#This Row],[Ветка]],Таблица1[Месяц],Таблица1[[#This Row],[Месяц]])</f>
        <v>0.17857142857142858</v>
      </c>
      <c r="L248" s="1">
        <v>2106415</v>
      </c>
      <c r="M248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0.1566010935234341</v>
      </c>
      <c r="N248" t="s">
        <v>23</v>
      </c>
      <c r="O248">
        <v>4</v>
      </c>
      <c r="P248">
        <v>4.8</v>
      </c>
      <c r="Q248">
        <v>3</v>
      </c>
      <c r="R248" t="s">
        <v>344</v>
      </c>
      <c r="S248">
        <v>201</v>
      </c>
      <c r="T248">
        <v>78</v>
      </c>
      <c r="U248">
        <v>85</v>
      </c>
      <c r="V248">
        <v>1</v>
      </c>
      <c r="W248">
        <v>0</v>
      </c>
    </row>
    <row r="249" spans="1:23" x14ac:dyDescent="0.3">
      <c r="A249">
        <v>148808069</v>
      </c>
      <c r="B249" t="s">
        <v>341</v>
      </c>
      <c r="C249" t="s">
        <v>73</v>
      </c>
      <c r="D249" t="s">
        <v>74</v>
      </c>
      <c r="E249">
        <v>420</v>
      </c>
      <c r="F249" t="s">
        <v>354</v>
      </c>
      <c r="G249" t="s">
        <v>179</v>
      </c>
      <c r="H249" t="s">
        <v>235</v>
      </c>
      <c r="I249" s="1">
        <v>279990</v>
      </c>
      <c r="J249">
        <v>9</v>
      </c>
      <c r="K249" s="7">
        <f>Таблица1[[#This Row],[Штуки]]/SUMIFS(Таблица1[Штуки],Таблица1[Ветка],Таблица1[[#This Row],[Ветка]],Таблица1[Месяц],Таблица1[[#This Row],[Месяц]])</f>
        <v>0.45</v>
      </c>
      <c r="L249" s="1">
        <v>2080637</v>
      </c>
      <c r="M249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0.42973584500373324</v>
      </c>
      <c r="N249" t="s">
        <v>23</v>
      </c>
      <c r="O249">
        <v>2</v>
      </c>
      <c r="P249">
        <v>5</v>
      </c>
      <c r="Q249">
        <v>13</v>
      </c>
      <c r="R249" t="s">
        <v>342</v>
      </c>
      <c r="S249">
        <v>139.30000000000001</v>
      </c>
      <c r="T249">
        <v>89</v>
      </c>
      <c r="U249">
        <v>77.599999999999994</v>
      </c>
      <c r="V249">
        <v>6</v>
      </c>
      <c r="W249">
        <v>0</v>
      </c>
    </row>
    <row r="250" spans="1:23" x14ac:dyDescent="0.3">
      <c r="A250">
        <v>121978785</v>
      </c>
      <c r="B250" t="s">
        <v>341</v>
      </c>
      <c r="C250" t="s">
        <v>97</v>
      </c>
      <c r="D250" t="s">
        <v>30</v>
      </c>
      <c r="E250">
        <v>100</v>
      </c>
      <c r="F250" t="s">
        <v>351</v>
      </c>
      <c r="G250" t="s">
        <v>180</v>
      </c>
      <c r="H250" t="s">
        <v>235</v>
      </c>
      <c r="I250" s="1">
        <v>679990</v>
      </c>
      <c r="J250">
        <v>3</v>
      </c>
      <c r="K250" s="7">
        <f>Таблица1[[#This Row],[Штуки]]/SUMIFS(Таблица1[Штуки],Таблица1[Ветка],Таблица1[[#This Row],[Ветка]],Таблица1[Месяц],Таблица1[[#This Row],[Месяц]])</f>
        <v>4.0540540540540543E-2</v>
      </c>
      <c r="L250" s="1">
        <v>2019970</v>
      </c>
      <c r="M250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7.2247465694730686E-2</v>
      </c>
      <c r="N250" t="s">
        <v>23</v>
      </c>
      <c r="O250">
        <v>2</v>
      </c>
      <c r="P250">
        <v>4.9000000000000004</v>
      </c>
      <c r="Q250">
        <v>47</v>
      </c>
      <c r="R250" t="s">
        <v>344</v>
      </c>
      <c r="S250">
        <v>254.5</v>
      </c>
      <c r="T250">
        <v>86</v>
      </c>
      <c r="U250">
        <v>89</v>
      </c>
      <c r="V250">
        <v>5</v>
      </c>
      <c r="W250">
        <v>0</v>
      </c>
    </row>
    <row r="251" spans="1:23" x14ac:dyDescent="0.3">
      <c r="A251">
        <v>142956771</v>
      </c>
      <c r="B251" t="s">
        <v>343</v>
      </c>
      <c r="C251" t="s">
        <v>191</v>
      </c>
      <c r="D251" t="s">
        <v>30</v>
      </c>
      <c r="E251">
        <v>718</v>
      </c>
      <c r="F251" t="s">
        <v>357</v>
      </c>
      <c r="G251" t="s">
        <v>179</v>
      </c>
      <c r="H251" t="s">
        <v>235</v>
      </c>
      <c r="I251" s="1">
        <v>399990</v>
      </c>
      <c r="J251">
        <v>5</v>
      </c>
      <c r="K251" s="7">
        <f>Таблица1[[#This Row],[Штуки]]/SUMIFS(Таблица1[Штуки],Таблица1[Ветка],Таблица1[[#This Row],[Ветка]],Таблица1[Месяц],Таблица1[[#This Row],[Месяц]])</f>
        <v>3.937007874015748E-2</v>
      </c>
      <c r="L251" s="1">
        <v>1999950</v>
      </c>
      <c r="M251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3.9657812732871542E-2</v>
      </c>
      <c r="N251" t="s">
        <v>23</v>
      </c>
      <c r="O251">
        <v>2</v>
      </c>
      <c r="P251">
        <v>4.9000000000000004</v>
      </c>
      <c r="Q251">
        <v>9</v>
      </c>
      <c r="R251" t="s">
        <v>342</v>
      </c>
      <c r="S251">
        <v>197</v>
      </c>
      <c r="T251">
        <v>86.4</v>
      </c>
      <c r="U251">
        <v>93.5</v>
      </c>
      <c r="V251">
        <v>0</v>
      </c>
      <c r="W251">
        <v>-35</v>
      </c>
    </row>
    <row r="252" spans="1:23" x14ac:dyDescent="0.3">
      <c r="A252">
        <v>112587145</v>
      </c>
      <c r="B252" t="s">
        <v>341</v>
      </c>
      <c r="C252" t="s">
        <v>239</v>
      </c>
      <c r="D252" t="s">
        <v>46</v>
      </c>
      <c r="E252">
        <v>741</v>
      </c>
      <c r="F252" t="s">
        <v>357</v>
      </c>
      <c r="G252" t="s">
        <v>180</v>
      </c>
      <c r="H252" t="s">
        <v>235</v>
      </c>
      <c r="I252" s="1">
        <v>1065000</v>
      </c>
      <c r="J252">
        <v>1</v>
      </c>
      <c r="K252" s="7">
        <f>Таблица1[[#This Row],[Штуки]]/SUMIFS(Таблица1[Штуки],Таблица1[Ветка],Таблица1[[#This Row],[Ветка]],Таблица1[Месяц],Таблица1[[#This Row],[Месяц]])</f>
        <v>7.874015748031496E-3</v>
      </c>
      <c r="L252" s="1">
        <v>1856503</v>
      </c>
      <c r="M252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3.681334448961935E-2</v>
      </c>
      <c r="N252" t="s">
        <v>57</v>
      </c>
      <c r="O252">
        <v>1</v>
      </c>
      <c r="P252">
        <v>5</v>
      </c>
      <c r="Q252">
        <v>0</v>
      </c>
      <c r="R252" t="s">
        <v>345</v>
      </c>
      <c r="S252">
        <v>250.4</v>
      </c>
      <c r="T252">
        <v>81</v>
      </c>
      <c r="U252">
        <v>86.4</v>
      </c>
      <c r="V252">
        <v>0</v>
      </c>
      <c r="W252">
        <v>-24</v>
      </c>
    </row>
    <row r="253" spans="1:23" x14ac:dyDescent="0.3">
      <c r="A253">
        <v>132115831</v>
      </c>
      <c r="B253" t="s">
        <v>341</v>
      </c>
      <c r="C253" t="s">
        <v>121</v>
      </c>
      <c r="D253" t="s">
        <v>30</v>
      </c>
      <c r="E253">
        <v>328</v>
      </c>
      <c r="F253" t="s">
        <v>353</v>
      </c>
      <c r="G253" t="s">
        <v>188</v>
      </c>
      <c r="H253" t="s">
        <v>235</v>
      </c>
      <c r="I253" s="1">
        <v>229975</v>
      </c>
      <c r="J253">
        <v>8</v>
      </c>
      <c r="K253" s="7">
        <f>Таблица1[[#This Row],[Штуки]]/SUMIFS(Таблица1[Штуки],Таблица1[Ветка],Таблица1[[#This Row],[Ветка]],Таблица1[Месяц],Таблица1[[#This Row],[Месяц]])</f>
        <v>5.7971014492753624E-2</v>
      </c>
      <c r="L253" s="1">
        <v>1849920</v>
      </c>
      <c r="M253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6.5790227075719854E-2</v>
      </c>
      <c r="N253" t="s">
        <v>23</v>
      </c>
      <c r="O253">
        <v>4</v>
      </c>
      <c r="P253">
        <v>5</v>
      </c>
      <c r="Q253">
        <v>40</v>
      </c>
      <c r="R253" t="s">
        <v>344</v>
      </c>
      <c r="S253">
        <v>129</v>
      </c>
      <c r="T253">
        <v>84.1</v>
      </c>
      <c r="U253">
        <v>66</v>
      </c>
      <c r="V253">
        <v>4</v>
      </c>
      <c r="W253">
        <v>-18</v>
      </c>
    </row>
    <row r="254" spans="1:23" x14ac:dyDescent="0.3">
      <c r="A254">
        <v>129159431</v>
      </c>
      <c r="B254" t="s">
        <v>343</v>
      </c>
      <c r="C254" t="s">
        <v>213</v>
      </c>
      <c r="D254" t="s">
        <v>41</v>
      </c>
      <c r="E254">
        <v>1380</v>
      </c>
      <c r="F254" t="s">
        <v>363</v>
      </c>
      <c r="G254" t="s">
        <v>179</v>
      </c>
      <c r="H254" t="s">
        <v>235</v>
      </c>
      <c r="I254" s="1">
        <v>989000</v>
      </c>
      <c r="J254">
        <v>3</v>
      </c>
      <c r="K254" s="7">
        <f>Таблица1[[#This Row],[Штуки]]/SUMIFS(Таблица1[Штуки],Таблица1[Ветка],Таблица1[[#This Row],[Ветка]],Таблица1[Месяц],Таблица1[[#This Row],[Месяц]])</f>
        <v>0.75</v>
      </c>
      <c r="L254" s="1">
        <v>1848000</v>
      </c>
      <c r="M254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0.64854962475016975</v>
      </c>
      <c r="N254" t="s">
        <v>57</v>
      </c>
      <c r="O254">
        <v>1</v>
      </c>
      <c r="P254">
        <v>5</v>
      </c>
      <c r="Q254">
        <v>1</v>
      </c>
      <c r="R254" t="s">
        <v>342</v>
      </c>
      <c r="S254">
        <v>260</v>
      </c>
      <c r="T254">
        <v>88</v>
      </c>
      <c r="U254">
        <v>102</v>
      </c>
      <c r="V254">
        <v>0</v>
      </c>
      <c r="W254">
        <v>-18</v>
      </c>
    </row>
    <row r="255" spans="1:23" x14ac:dyDescent="0.3">
      <c r="A255">
        <v>110833716</v>
      </c>
      <c r="B255" t="s">
        <v>346</v>
      </c>
      <c r="C255" t="s">
        <v>108</v>
      </c>
      <c r="D255" t="s">
        <v>62</v>
      </c>
      <c r="E255">
        <v>500</v>
      </c>
      <c r="F255" t="s">
        <v>355</v>
      </c>
      <c r="G255" t="s">
        <v>179</v>
      </c>
      <c r="H255" t="s">
        <v>235</v>
      </c>
      <c r="I255" s="1">
        <v>571500</v>
      </c>
      <c r="J255">
        <v>3</v>
      </c>
      <c r="K255" s="7">
        <f>Таблица1[[#This Row],[Штуки]]/SUMIFS(Таблица1[Штуки],Таблица1[Ветка],Таблица1[[#This Row],[Ветка]],Таблица1[Месяц],Таблица1[[#This Row],[Месяц]])</f>
        <v>1.7751479289940829E-2</v>
      </c>
      <c r="L255" s="1">
        <v>1720384</v>
      </c>
      <c r="M255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3.5282989579054472E-2</v>
      </c>
      <c r="N255" t="s">
        <v>23</v>
      </c>
      <c r="O255">
        <v>4</v>
      </c>
      <c r="P255">
        <v>5</v>
      </c>
      <c r="Q255">
        <v>3</v>
      </c>
      <c r="R255" t="s">
        <v>344</v>
      </c>
      <c r="S255">
        <v>69.7</v>
      </c>
      <c r="T255">
        <v>196</v>
      </c>
      <c r="U255">
        <v>69.5</v>
      </c>
      <c r="V255">
        <v>0</v>
      </c>
      <c r="W255">
        <v>-18</v>
      </c>
    </row>
    <row r="256" spans="1:23" x14ac:dyDescent="0.3">
      <c r="A256">
        <v>114860975</v>
      </c>
      <c r="B256" t="s">
        <v>341</v>
      </c>
      <c r="C256" t="s">
        <v>152</v>
      </c>
      <c r="D256" t="s">
        <v>46</v>
      </c>
      <c r="E256">
        <v>513</v>
      </c>
      <c r="F256" t="s">
        <v>355</v>
      </c>
      <c r="G256" t="s">
        <v>179</v>
      </c>
      <c r="H256" t="s">
        <v>235</v>
      </c>
      <c r="I256" s="1">
        <v>491000</v>
      </c>
      <c r="J256">
        <v>7</v>
      </c>
      <c r="K256" s="7">
        <f>Таблица1[[#This Row],[Штуки]]/SUMIFS(Таблица1[Штуки],Таблица1[Ветка],Таблица1[[#This Row],[Ветка]],Таблица1[Месяц],Таблица1[[#This Row],[Месяц]])</f>
        <v>4.142011834319527E-2</v>
      </c>
      <c r="L256" s="1">
        <v>1631229</v>
      </c>
      <c r="M256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3.3454528644797588E-2</v>
      </c>
      <c r="N256" t="s">
        <v>57</v>
      </c>
      <c r="O256">
        <v>1</v>
      </c>
      <c r="P256">
        <v>5</v>
      </c>
      <c r="Q256">
        <v>2</v>
      </c>
      <c r="R256" t="s">
        <v>344</v>
      </c>
      <c r="S256">
        <v>155</v>
      </c>
      <c r="T256">
        <v>84.5</v>
      </c>
      <c r="U256">
        <v>65</v>
      </c>
      <c r="V256">
        <v>4</v>
      </c>
      <c r="W256">
        <v>-24</v>
      </c>
    </row>
    <row r="257" spans="1:23" x14ac:dyDescent="0.3">
      <c r="A257">
        <v>143852360</v>
      </c>
      <c r="B257" t="s">
        <v>341</v>
      </c>
      <c r="C257" t="s">
        <v>137</v>
      </c>
      <c r="D257" t="s">
        <v>130</v>
      </c>
      <c r="E257">
        <v>105</v>
      </c>
      <c r="F257" t="s">
        <v>351</v>
      </c>
      <c r="G257" t="s">
        <v>179</v>
      </c>
      <c r="H257" t="s">
        <v>235</v>
      </c>
      <c r="I257" s="1">
        <v>90800</v>
      </c>
      <c r="J257">
        <v>17</v>
      </c>
      <c r="K257" s="7">
        <f>Таблица1[[#This Row],[Штуки]]/SUMIFS(Таблица1[Штуки],Таблица1[Ветка],Таблица1[[#This Row],[Ветка]],Таблица1[Месяц],Таблица1[[#This Row],[Месяц]])</f>
        <v>0.22972972972972974</v>
      </c>
      <c r="L257" s="1">
        <v>1575513</v>
      </c>
      <c r="M257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5.6350748485919207E-2</v>
      </c>
      <c r="N257" t="s">
        <v>57</v>
      </c>
      <c r="O257">
        <v>2</v>
      </c>
      <c r="P257">
        <v>4.5999999999999996</v>
      </c>
      <c r="Q257">
        <v>5</v>
      </c>
      <c r="R257" t="s">
        <v>344</v>
      </c>
      <c r="S257">
        <v>58</v>
      </c>
      <c r="T257">
        <v>78</v>
      </c>
      <c r="U257">
        <v>63</v>
      </c>
      <c r="V257">
        <v>2</v>
      </c>
      <c r="W257">
        <v>-18</v>
      </c>
    </row>
    <row r="258" spans="1:23" x14ac:dyDescent="0.3">
      <c r="A258">
        <v>132088486</v>
      </c>
      <c r="B258" t="s">
        <v>341</v>
      </c>
      <c r="C258" t="s">
        <v>64</v>
      </c>
      <c r="D258" t="s">
        <v>25</v>
      </c>
      <c r="E258">
        <v>680</v>
      </c>
      <c r="F258" t="s">
        <v>356</v>
      </c>
      <c r="G258" t="s">
        <v>179</v>
      </c>
      <c r="H258" t="s">
        <v>235</v>
      </c>
      <c r="I258" s="1">
        <v>371725</v>
      </c>
      <c r="J258">
        <v>4</v>
      </c>
      <c r="K258" s="7">
        <f>Таблица1[[#This Row],[Штуки]]/SUMIFS(Таблица1[Штуки],Таблица1[Ветка],Таблица1[[#This Row],[Ветка]],Таблица1[Месяц],Таблица1[[#This Row],[Месяц]])</f>
        <v>4.5454545454545456E-2</v>
      </c>
      <c r="L258" s="1">
        <v>1538027</v>
      </c>
      <c r="M258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5.8550969646804139E-2</v>
      </c>
      <c r="N258" t="s">
        <v>23</v>
      </c>
      <c r="O258">
        <v>5</v>
      </c>
      <c r="P258">
        <v>5</v>
      </c>
      <c r="Q258">
        <v>17</v>
      </c>
      <c r="R258" t="s">
        <v>344</v>
      </c>
      <c r="S258">
        <v>202.5</v>
      </c>
      <c r="T258">
        <v>88.5</v>
      </c>
      <c r="U258">
        <v>66.5</v>
      </c>
      <c r="V258">
        <v>6</v>
      </c>
      <c r="W258">
        <v>-25</v>
      </c>
    </row>
    <row r="259" spans="1:23" x14ac:dyDescent="0.3">
      <c r="A259">
        <v>106635013</v>
      </c>
      <c r="B259" t="s">
        <v>343</v>
      </c>
      <c r="C259" t="s">
        <v>224</v>
      </c>
      <c r="D259" t="s">
        <v>203</v>
      </c>
      <c r="E259">
        <v>850</v>
      </c>
      <c r="F259" t="s">
        <v>358</v>
      </c>
      <c r="G259" t="s">
        <v>225</v>
      </c>
      <c r="H259" t="s">
        <v>235</v>
      </c>
      <c r="I259" s="1">
        <v>382945</v>
      </c>
      <c r="J259">
        <v>4</v>
      </c>
      <c r="K259" s="7">
        <f>Таблица1[[#This Row],[Штуки]]/SUMIFS(Таблица1[Штуки],Таблица1[Ветка],Таблица1[[#This Row],[Ветка]],Таблица1[Месяц],Таблица1[[#This Row],[Месяц]])</f>
        <v>0.14285714285714285</v>
      </c>
      <c r="L259" s="1">
        <v>1511729</v>
      </c>
      <c r="M259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0.11238925592112071</v>
      </c>
      <c r="N259" t="s">
        <v>57</v>
      </c>
      <c r="O259">
        <v>5</v>
      </c>
      <c r="P259">
        <v>4.8</v>
      </c>
      <c r="Q259">
        <v>13</v>
      </c>
      <c r="R259" t="s">
        <v>344</v>
      </c>
      <c r="S259">
        <v>200.1</v>
      </c>
      <c r="T259">
        <v>87</v>
      </c>
      <c r="U259">
        <v>85.5</v>
      </c>
      <c r="V259">
        <v>0</v>
      </c>
      <c r="W259">
        <v>-18</v>
      </c>
    </row>
    <row r="260" spans="1:23" x14ac:dyDescent="0.3">
      <c r="A260">
        <v>156640750</v>
      </c>
      <c r="B260" t="s">
        <v>341</v>
      </c>
      <c r="C260" t="s">
        <v>194</v>
      </c>
      <c r="D260" t="s">
        <v>165</v>
      </c>
      <c r="E260">
        <v>338</v>
      </c>
      <c r="F260" t="s">
        <v>353</v>
      </c>
      <c r="G260" t="s">
        <v>195</v>
      </c>
      <c r="H260" t="s">
        <v>235</v>
      </c>
      <c r="I260" s="1">
        <v>213999</v>
      </c>
      <c r="J260">
        <v>7</v>
      </c>
      <c r="K260" s="7">
        <f>Таблица1[[#This Row],[Штуки]]/SUMIFS(Таблица1[Штуки],Таблица1[Ветка],Таблица1[[#This Row],[Ветка]],Таблица1[Месяц],Таблица1[[#This Row],[Месяц]])</f>
        <v>5.0724637681159424E-2</v>
      </c>
      <c r="L260" s="1">
        <v>1505468</v>
      </c>
      <c r="M260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5.3540197184326795E-2</v>
      </c>
      <c r="N260" t="s">
        <v>23</v>
      </c>
      <c r="O260">
        <v>5</v>
      </c>
      <c r="P260">
        <v>5</v>
      </c>
      <c r="Q260">
        <v>4</v>
      </c>
      <c r="R260" t="s">
        <v>344</v>
      </c>
      <c r="S260">
        <v>128</v>
      </c>
      <c r="T260">
        <v>83</v>
      </c>
      <c r="U260">
        <v>60</v>
      </c>
      <c r="V260">
        <v>5</v>
      </c>
      <c r="W260">
        <v>-24</v>
      </c>
    </row>
    <row r="261" spans="1:23" x14ac:dyDescent="0.3">
      <c r="A261">
        <v>102055246</v>
      </c>
      <c r="B261" t="s">
        <v>346</v>
      </c>
      <c r="C261" t="s">
        <v>61</v>
      </c>
      <c r="D261" t="s">
        <v>62</v>
      </c>
      <c r="E261">
        <v>700</v>
      </c>
      <c r="F261" t="s">
        <v>357</v>
      </c>
      <c r="G261" t="s">
        <v>179</v>
      </c>
      <c r="H261" t="s">
        <v>235</v>
      </c>
      <c r="I261" s="1">
        <v>632820</v>
      </c>
      <c r="J261">
        <v>2</v>
      </c>
      <c r="K261" s="7">
        <f>Таблица1[[#This Row],[Штуки]]/SUMIFS(Таблица1[Штуки],Таблица1[Ветка],Таблица1[[#This Row],[Ветка]],Таблица1[Месяц],Таблица1[[#This Row],[Месяц]])</f>
        <v>1.5748031496062992E-2</v>
      </c>
      <c r="L261" s="1">
        <v>1491688</v>
      </c>
      <c r="M261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2.9579281161964892E-2</v>
      </c>
      <c r="N261" t="s">
        <v>23</v>
      </c>
      <c r="O261">
        <v>3</v>
      </c>
      <c r="P261">
        <v>5</v>
      </c>
      <c r="Q261">
        <v>5</v>
      </c>
      <c r="R261" t="s">
        <v>344</v>
      </c>
      <c r="S261">
        <v>73</v>
      </c>
      <c r="T261">
        <v>199</v>
      </c>
      <c r="U261">
        <v>96</v>
      </c>
      <c r="V261">
        <v>0</v>
      </c>
      <c r="W261">
        <v>-18</v>
      </c>
    </row>
    <row r="262" spans="1:23" x14ac:dyDescent="0.3">
      <c r="A262">
        <v>100620937</v>
      </c>
      <c r="B262" t="s">
        <v>343</v>
      </c>
      <c r="C262" t="s">
        <v>220</v>
      </c>
      <c r="D262" t="s">
        <v>93</v>
      </c>
      <c r="E262">
        <v>1088</v>
      </c>
      <c r="F262" t="s">
        <v>360</v>
      </c>
      <c r="G262" t="s">
        <v>179</v>
      </c>
      <c r="H262" t="s">
        <v>235</v>
      </c>
      <c r="I262" s="1">
        <v>459600</v>
      </c>
      <c r="J262">
        <v>3</v>
      </c>
      <c r="K262" s="7">
        <f>Таблица1[[#This Row],[Штуки]]/SUMIFS(Таблица1[Штуки],Таблица1[Ветка],Таблица1[[#This Row],[Ветка]],Таблица1[Месяц],Таблица1[[#This Row],[Месяц]])</f>
        <v>0.27272727272727271</v>
      </c>
      <c r="L262" s="1">
        <v>1422834</v>
      </c>
      <c r="M262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0.26080563332572027</v>
      </c>
      <c r="N262" t="s">
        <v>57</v>
      </c>
      <c r="O262">
        <v>3</v>
      </c>
      <c r="P262">
        <v>4.8</v>
      </c>
      <c r="Q262">
        <v>3</v>
      </c>
      <c r="R262" t="s">
        <v>344</v>
      </c>
      <c r="S262">
        <v>197</v>
      </c>
      <c r="T262">
        <v>94.2</v>
      </c>
      <c r="U262">
        <v>104</v>
      </c>
      <c r="V262">
        <v>2</v>
      </c>
      <c r="W262">
        <v>-18</v>
      </c>
    </row>
    <row r="263" spans="1:23" x14ac:dyDescent="0.3">
      <c r="A263">
        <v>132777674</v>
      </c>
      <c r="B263" t="s">
        <v>341</v>
      </c>
      <c r="C263" t="s">
        <v>122</v>
      </c>
      <c r="D263" t="s">
        <v>30</v>
      </c>
      <c r="E263">
        <v>647</v>
      </c>
      <c r="F263" t="s">
        <v>356</v>
      </c>
      <c r="G263" t="s">
        <v>188</v>
      </c>
      <c r="H263" t="s">
        <v>235</v>
      </c>
      <c r="I263" s="1">
        <v>429990</v>
      </c>
      <c r="J263">
        <v>3</v>
      </c>
      <c r="K263" s="7">
        <f>Таблица1[[#This Row],[Штуки]]/SUMIFS(Таблица1[Штуки],Таблица1[Ветка],Таблица1[[#This Row],[Ветка]],Таблица1[Месяц],Таблица1[[#This Row],[Месяц]])</f>
        <v>3.4090909090909088E-2</v>
      </c>
      <c r="L263" s="1">
        <v>1409778</v>
      </c>
      <c r="M263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5.3668673493204117E-2</v>
      </c>
      <c r="N263" t="s">
        <v>23</v>
      </c>
      <c r="O263">
        <v>1</v>
      </c>
      <c r="P263">
        <v>5</v>
      </c>
      <c r="Q263">
        <v>2</v>
      </c>
      <c r="R263" t="s">
        <v>342</v>
      </c>
      <c r="S263">
        <v>182</v>
      </c>
      <c r="T263">
        <v>82.2</v>
      </c>
      <c r="U263">
        <v>82.2</v>
      </c>
      <c r="V263">
        <v>6</v>
      </c>
      <c r="W263">
        <v>-25</v>
      </c>
    </row>
    <row r="264" spans="1:23" x14ac:dyDescent="0.3">
      <c r="A264">
        <v>156863482</v>
      </c>
      <c r="B264" t="s">
        <v>343</v>
      </c>
      <c r="C264" t="s">
        <v>240</v>
      </c>
      <c r="D264" t="s">
        <v>91</v>
      </c>
      <c r="E264">
        <v>1100</v>
      </c>
      <c r="F264" t="s">
        <v>361</v>
      </c>
      <c r="G264" t="s">
        <v>180</v>
      </c>
      <c r="H264" t="s">
        <v>235</v>
      </c>
      <c r="I264" s="1">
        <v>479990</v>
      </c>
      <c r="J264">
        <v>3</v>
      </c>
      <c r="K264" s="7">
        <f>Таблица1[[#This Row],[Штуки]]/SUMIFS(Таблица1[Штуки],Таблица1[Ветка],Таблица1[[#This Row],[Ветка]],Таблица1[Месяц],Таблица1[[#This Row],[Месяц]])</f>
        <v>0.42857142857142855</v>
      </c>
      <c r="L264" s="1">
        <v>1350411</v>
      </c>
      <c r="M264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0.26691071351981488</v>
      </c>
      <c r="N264" t="s">
        <v>57</v>
      </c>
      <c r="O264">
        <v>2</v>
      </c>
      <c r="P264">
        <v>0</v>
      </c>
      <c r="Q264">
        <v>0</v>
      </c>
      <c r="R264" t="s">
        <v>342</v>
      </c>
      <c r="S264">
        <v>236</v>
      </c>
      <c r="T264">
        <v>85</v>
      </c>
      <c r="U264">
        <v>90</v>
      </c>
      <c r="V264">
        <v>0</v>
      </c>
      <c r="W264">
        <v>-20</v>
      </c>
    </row>
    <row r="265" spans="1:23" x14ac:dyDescent="0.3">
      <c r="A265">
        <v>145169183</v>
      </c>
      <c r="B265" t="s">
        <v>343</v>
      </c>
      <c r="C265" t="s">
        <v>147</v>
      </c>
      <c r="D265" t="s">
        <v>148</v>
      </c>
      <c r="E265">
        <v>700</v>
      </c>
      <c r="F265" t="s">
        <v>357</v>
      </c>
      <c r="G265" t="s">
        <v>179</v>
      </c>
      <c r="H265" t="s">
        <v>235</v>
      </c>
      <c r="I265" s="1">
        <v>309900</v>
      </c>
      <c r="J265">
        <v>4</v>
      </c>
      <c r="K265" s="7">
        <f>Таблица1[[#This Row],[Штуки]]/SUMIFS(Таблица1[Штуки],Таблица1[Ветка],Таблица1[[#This Row],[Ветка]],Таблица1[Месяц],Таблица1[[#This Row],[Месяц]])</f>
        <v>3.1496062992125984E-2</v>
      </c>
      <c r="L265" s="1">
        <v>1308105</v>
      </c>
      <c r="M265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2.5938940035967362E-2</v>
      </c>
      <c r="N265" t="s">
        <v>23</v>
      </c>
      <c r="O265">
        <v>5</v>
      </c>
      <c r="P265">
        <v>5</v>
      </c>
      <c r="Q265">
        <v>2</v>
      </c>
      <c r="R265" t="s">
        <v>344</v>
      </c>
      <c r="S265">
        <v>203</v>
      </c>
      <c r="T265">
        <v>91</v>
      </c>
      <c r="U265">
        <v>76</v>
      </c>
      <c r="V265">
        <v>3</v>
      </c>
      <c r="W265">
        <v>-18</v>
      </c>
    </row>
    <row r="266" spans="1:23" x14ac:dyDescent="0.3">
      <c r="A266">
        <v>131172629</v>
      </c>
      <c r="B266" t="s">
        <v>341</v>
      </c>
      <c r="C266" t="s">
        <v>241</v>
      </c>
      <c r="D266" t="s">
        <v>133</v>
      </c>
      <c r="E266">
        <v>1000</v>
      </c>
      <c r="F266" t="s">
        <v>360</v>
      </c>
      <c r="G266" t="s">
        <v>242</v>
      </c>
      <c r="H266" t="s">
        <v>235</v>
      </c>
      <c r="I266" s="1">
        <v>645000</v>
      </c>
      <c r="J266">
        <v>2</v>
      </c>
      <c r="K266" s="7">
        <f>Таблица1[[#This Row],[Штуки]]/SUMIFS(Таблица1[Штуки],Таблица1[Ветка],Таблица1[[#This Row],[Ветка]],Таблица1[Месяц],Таблица1[[#This Row],[Месяц]])</f>
        <v>0.18181818181818182</v>
      </c>
      <c r="L266" s="1">
        <v>1292144</v>
      </c>
      <c r="M266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0.23685014152601744</v>
      </c>
      <c r="N266" t="s">
        <v>57</v>
      </c>
      <c r="O266">
        <v>1</v>
      </c>
      <c r="P266">
        <v>5</v>
      </c>
      <c r="Q266">
        <v>1</v>
      </c>
      <c r="R266" t="s">
        <v>342</v>
      </c>
      <c r="S266">
        <v>250</v>
      </c>
      <c r="T266">
        <v>85</v>
      </c>
      <c r="U266">
        <v>85</v>
      </c>
      <c r="V266">
        <v>8</v>
      </c>
      <c r="W266">
        <v>-18</v>
      </c>
    </row>
    <row r="267" spans="1:23" x14ac:dyDescent="0.3">
      <c r="A267">
        <v>140611569</v>
      </c>
      <c r="B267" t="s">
        <v>343</v>
      </c>
      <c r="C267" t="s">
        <v>105</v>
      </c>
      <c r="D267" t="s">
        <v>50</v>
      </c>
      <c r="E267">
        <v>138</v>
      </c>
      <c r="F267" t="s">
        <v>351</v>
      </c>
      <c r="G267" t="s">
        <v>179</v>
      </c>
      <c r="H267" t="s">
        <v>235</v>
      </c>
      <c r="I267" s="1">
        <v>599988</v>
      </c>
      <c r="J267">
        <v>2</v>
      </c>
      <c r="K267" s="7">
        <f>Таблица1[[#This Row],[Штуки]]/SUMIFS(Таблица1[Штуки],Таблица1[Ветка],Таблица1[[#This Row],[Ветка]],Таблица1[Месяц],Таблица1[[#This Row],[Месяц]])</f>
        <v>2.7027027027027029E-2</v>
      </c>
      <c r="L267" s="1">
        <v>1199980</v>
      </c>
      <c r="M267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4.2919208643872393E-2</v>
      </c>
      <c r="N267" t="s">
        <v>57</v>
      </c>
      <c r="O267">
        <v>2</v>
      </c>
      <c r="P267">
        <v>5</v>
      </c>
      <c r="Q267">
        <v>2</v>
      </c>
      <c r="R267" t="s">
        <v>344</v>
      </c>
      <c r="S267">
        <v>260</v>
      </c>
      <c r="T267">
        <v>93</v>
      </c>
      <c r="U267">
        <v>89</v>
      </c>
      <c r="V267">
        <v>0</v>
      </c>
      <c r="W267">
        <v>-18</v>
      </c>
    </row>
    <row r="268" spans="1:23" x14ac:dyDescent="0.3">
      <c r="A268">
        <v>142526631</v>
      </c>
      <c r="B268" t="s">
        <v>341</v>
      </c>
      <c r="C268" t="s">
        <v>128</v>
      </c>
      <c r="D268" t="s">
        <v>115</v>
      </c>
      <c r="E268">
        <v>700</v>
      </c>
      <c r="F268" t="s">
        <v>357</v>
      </c>
      <c r="G268" t="s">
        <v>180</v>
      </c>
      <c r="H268" t="s">
        <v>235</v>
      </c>
      <c r="I268" s="1">
        <v>374999</v>
      </c>
      <c r="J268">
        <v>3</v>
      </c>
      <c r="K268" s="7">
        <f>Таблица1[[#This Row],[Штуки]]/SUMIFS(Таблица1[Штуки],Таблица1[Ветка],Таблица1[[#This Row],[Ветка]],Таблица1[Месяц],Таблица1[[#This Row],[Месяц]])</f>
        <v>2.3622047244094488E-2</v>
      </c>
      <c r="L268" s="1">
        <v>1175509</v>
      </c>
      <c r="M268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2.3309640634918419E-2</v>
      </c>
      <c r="N268" t="s">
        <v>23</v>
      </c>
      <c r="O268">
        <v>1</v>
      </c>
      <c r="P268">
        <v>5</v>
      </c>
      <c r="Q268">
        <v>2</v>
      </c>
      <c r="R268" t="s">
        <v>342</v>
      </c>
      <c r="S268">
        <v>200</v>
      </c>
      <c r="T268">
        <v>80</v>
      </c>
      <c r="U268">
        <v>76</v>
      </c>
      <c r="V268">
        <v>7</v>
      </c>
      <c r="W268">
        <v>-24</v>
      </c>
    </row>
    <row r="269" spans="1:23" x14ac:dyDescent="0.3">
      <c r="A269">
        <v>118087013</v>
      </c>
      <c r="B269" t="s">
        <v>341</v>
      </c>
      <c r="C269" t="s">
        <v>102</v>
      </c>
      <c r="D269" t="s">
        <v>25</v>
      </c>
      <c r="E269">
        <v>500</v>
      </c>
      <c r="F269" t="s">
        <v>355</v>
      </c>
      <c r="G269" t="s">
        <v>179</v>
      </c>
      <c r="H269" t="s">
        <v>235</v>
      </c>
      <c r="I269" s="1">
        <v>323451</v>
      </c>
      <c r="J269">
        <v>4</v>
      </c>
      <c r="K269" s="7">
        <f>Таблица1[[#This Row],[Штуки]]/SUMIFS(Таблица1[Штуки],Таблица1[Ветка],Таблица1[[#This Row],[Ветка]],Таблица1[Месяц],Таблица1[[#This Row],[Месяц]])</f>
        <v>2.3668639053254437E-2</v>
      </c>
      <c r="L269" s="1">
        <v>1174749</v>
      </c>
      <c r="M269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2.409267740516342E-2</v>
      </c>
      <c r="N269" t="s">
        <v>57</v>
      </c>
      <c r="O269">
        <v>1</v>
      </c>
      <c r="P269">
        <v>5</v>
      </c>
      <c r="Q269">
        <v>11</v>
      </c>
      <c r="R269" t="s">
        <v>344</v>
      </c>
      <c r="S269">
        <v>155.5</v>
      </c>
      <c r="T269">
        <v>88.5</v>
      </c>
      <c r="U269">
        <v>66.5</v>
      </c>
      <c r="V269">
        <v>6</v>
      </c>
      <c r="W269">
        <v>-25</v>
      </c>
    </row>
    <row r="270" spans="1:23" x14ac:dyDescent="0.3">
      <c r="A270">
        <v>140308862</v>
      </c>
      <c r="B270" t="s">
        <v>341</v>
      </c>
      <c r="C270" t="s">
        <v>166</v>
      </c>
      <c r="D270" t="s">
        <v>91</v>
      </c>
      <c r="E270">
        <v>420</v>
      </c>
      <c r="F270" t="s">
        <v>354</v>
      </c>
      <c r="G270" t="s">
        <v>179</v>
      </c>
      <c r="H270" t="s">
        <v>235</v>
      </c>
      <c r="I270" s="1">
        <v>236980</v>
      </c>
      <c r="J270">
        <v>5</v>
      </c>
      <c r="K270" s="7">
        <f>Таблица1[[#This Row],[Штуки]]/SUMIFS(Таблица1[Штуки],Таблица1[Ветка],Таблица1[[#This Row],[Ветка]],Таблица1[Месяц],Таблица1[[#This Row],[Месяц]])</f>
        <v>0.25</v>
      </c>
      <c r="L270" s="1">
        <v>1161223</v>
      </c>
      <c r="M270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0.23983960063325324</v>
      </c>
      <c r="N270" t="s">
        <v>57</v>
      </c>
      <c r="O270">
        <v>5</v>
      </c>
      <c r="P270">
        <v>5</v>
      </c>
      <c r="Q270">
        <v>8</v>
      </c>
      <c r="R270" t="s">
        <v>342</v>
      </c>
      <c r="S270">
        <v>131</v>
      </c>
      <c r="T270">
        <v>83</v>
      </c>
      <c r="U270">
        <v>69</v>
      </c>
      <c r="V270">
        <v>6</v>
      </c>
      <c r="W270">
        <v>-18</v>
      </c>
    </row>
    <row r="271" spans="1:23" x14ac:dyDescent="0.3">
      <c r="A271">
        <v>149362714</v>
      </c>
      <c r="B271" t="s">
        <v>341</v>
      </c>
      <c r="C271" t="s">
        <v>226</v>
      </c>
      <c r="D271" t="s">
        <v>84</v>
      </c>
      <c r="E271">
        <v>613</v>
      </c>
      <c r="F271" t="s">
        <v>356</v>
      </c>
      <c r="G271" t="s">
        <v>180</v>
      </c>
      <c r="H271" t="s">
        <v>235</v>
      </c>
      <c r="I271" s="1">
        <v>405000</v>
      </c>
      <c r="J271">
        <v>3</v>
      </c>
      <c r="K271" s="7">
        <f>Таблица1[[#This Row],[Штуки]]/SUMIFS(Таблица1[Штуки],Таблица1[Ветка],Таблица1[[#This Row],[Ветка]],Таблица1[Месяц],Таблица1[[#This Row],[Месяц]])</f>
        <v>3.4090909090909088E-2</v>
      </c>
      <c r="L271" s="1">
        <v>1156153</v>
      </c>
      <c r="M271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4.401345308636425E-2</v>
      </c>
      <c r="N271" t="s">
        <v>57</v>
      </c>
      <c r="O271">
        <v>1</v>
      </c>
      <c r="P271">
        <v>5</v>
      </c>
      <c r="Q271">
        <v>2</v>
      </c>
      <c r="R271" t="s">
        <v>342</v>
      </c>
      <c r="S271">
        <v>180</v>
      </c>
      <c r="T271">
        <v>86</v>
      </c>
      <c r="U271">
        <v>76</v>
      </c>
      <c r="V271">
        <v>7</v>
      </c>
      <c r="W271">
        <v>-22</v>
      </c>
    </row>
    <row r="272" spans="1:23" x14ac:dyDescent="0.3">
      <c r="A272">
        <v>114694121</v>
      </c>
      <c r="B272" t="s">
        <v>346</v>
      </c>
      <c r="C272" t="s">
        <v>53</v>
      </c>
      <c r="D272" t="s">
        <v>54</v>
      </c>
      <c r="E272">
        <v>1400</v>
      </c>
      <c r="F272" t="s">
        <v>364</v>
      </c>
      <c r="G272" t="s">
        <v>197</v>
      </c>
      <c r="H272" t="s">
        <v>235</v>
      </c>
      <c r="I272" s="1">
        <v>1120000</v>
      </c>
      <c r="J272">
        <v>1</v>
      </c>
      <c r="K272" s="7">
        <f>Таблица1[[#This Row],[Штуки]]/SUMIFS(Таблица1[Штуки],Таблица1[Ветка],Таблица1[[#This Row],[Ветка]],Таблица1[Месяц],Таблица1[[#This Row],[Месяц]])</f>
        <v>1</v>
      </c>
      <c r="L272" s="1">
        <v>1120000</v>
      </c>
      <c r="M272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1</v>
      </c>
      <c r="N272" t="s">
        <v>23</v>
      </c>
      <c r="O272">
        <v>1</v>
      </c>
      <c r="P272">
        <v>4.33</v>
      </c>
      <c r="Q272">
        <v>5</v>
      </c>
      <c r="R272" t="s">
        <v>344</v>
      </c>
      <c r="S272">
        <v>160</v>
      </c>
      <c r="T272">
        <v>198</v>
      </c>
      <c r="U272">
        <v>72.5</v>
      </c>
      <c r="V272">
        <v>0</v>
      </c>
      <c r="W272">
        <v>-18</v>
      </c>
    </row>
    <row r="273" spans="1:23" x14ac:dyDescent="0.3">
      <c r="A273">
        <v>153608532</v>
      </c>
      <c r="B273" t="s">
        <v>343</v>
      </c>
      <c r="C273" t="s">
        <v>90</v>
      </c>
      <c r="D273" t="s">
        <v>91</v>
      </c>
      <c r="E273">
        <v>720</v>
      </c>
      <c r="F273" t="s">
        <v>357</v>
      </c>
      <c r="G273" t="s">
        <v>180</v>
      </c>
      <c r="H273" t="s">
        <v>235</v>
      </c>
      <c r="I273" s="1">
        <v>278000</v>
      </c>
      <c r="J273">
        <v>4</v>
      </c>
      <c r="K273" s="7">
        <f>Таблица1[[#This Row],[Штуки]]/SUMIFS(Таблица1[Штуки],Таблица1[Ветка],Таблица1[[#This Row],[Ветка]],Таблица1[Месяц],Таблица1[[#This Row],[Месяц]])</f>
        <v>3.1496062992125984E-2</v>
      </c>
      <c r="L273" s="1">
        <v>1116927</v>
      </c>
      <c r="M273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2.2147994601009031E-2</v>
      </c>
      <c r="N273" t="s">
        <v>23</v>
      </c>
      <c r="O273">
        <v>2</v>
      </c>
      <c r="P273">
        <v>5</v>
      </c>
      <c r="Q273">
        <v>1</v>
      </c>
      <c r="R273" t="s">
        <v>342</v>
      </c>
      <c r="S273">
        <v>180</v>
      </c>
      <c r="T273">
        <v>80.599999999999994</v>
      </c>
      <c r="U273">
        <v>71</v>
      </c>
      <c r="V273">
        <v>0</v>
      </c>
      <c r="W273">
        <v>-18</v>
      </c>
    </row>
    <row r="274" spans="1:23" x14ac:dyDescent="0.3">
      <c r="A274">
        <v>121978807</v>
      </c>
      <c r="B274" t="s">
        <v>341</v>
      </c>
      <c r="C274" t="s">
        <v>58</v>
      </c>
      <c r="D274" t="s">
        <v>30</v>
      </c>
      <c r="E274">
        <v>900</v>
      </c>
      <c r="F274" t="s">
        <v>359</v>
      </c>
      <c r="G274" t="s">
        <v>180</v>
      </c>
      <c r="H274" t="s">
        <v>235</v>
      </c>
      <c r="I274" s="1">
        <v>519085</v>
      </c>
      <c r="J274">
        <v>2</v>
      </c>
      <c r="K274" s="7">
        <f>Таблица1[[#This Row],[Штуки]]/SUMIFS(Таблица1[Штуки],Таблица1[Ветка],Таблица1[[#This Row],[Ветка]],Таблица1[Месяц],Таблица1[[#This Row],[Месяц]])</f>
        <v>0.5</v>
      </c>
      <c r="L274" s="1">
        <v>1116683</v>
      </c>
      <c r="M274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0.50512414563646968</v>
      </c>
      <c r="N274" t="s">
        <v>23</v>
      </c>
      <c r="O274">
        <v>5</v>
      </c>
      <c r="P274">
        <v>4.8</v>
      </c>
      <c r="Q274">
        <v>13</v>
      </c>
      <c r="R274" t="s">
        <v>344</v>
      </c>
      <c r="S274">
        <v>214.5</v>
      </c>
      <c r="T274">
        <v>86</v>
      </c>
      <c r="U274">
        <v>89</v>
      </c>
      <c r="V274">
        <v>6</v>
      </c>
      <c r="W274">
        <v>-18</v>
      </c>
    </row>
    <row r="275" spans="1:23" x14ac:dyDescent="0.3">
      <c r="A275">
        <v>153722102</v>
      </c>
      <c r="B275" t="s">
        <v>343</v>
      </c>
      <c r="C275" t="s">
        <v>243</v>
      </c>
      <c r="D275" t="s">
        <v>104</v>
      </c>
      <c r="E275">
        <v>700</v>
      </c>
      <c r="F275" t="s">
        <v>357</v>
      </c>
      <c r="G275" t="s">
        <v>180</v>
      </c>
      <c r="H275" t="s">
        <v>235</v>
      </c>
      <c r="I275" s="1">
        <v>296990</v>
      </c>
      <c r="J275">
        <v>4</v>
      </c>
      <c r="K275" s="7">
        <f>Таблица1[[#This Row],[Штуки]]/SUMIFS(Таблица1[Штуки],Таблица1[Ветка],Таблица1[[#This Row],[Ветка]],Таблица1[Месяц],Таблица1[[#This Row],[Месяц]])</f>
        <v>3.1496062992125984E-2</v>
      </c>
      <c r="L275" s="1">
        <v>1114912</v>
      </c>
      <c r="M275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2.2108038355774531E-2</v>
      </c>
      <c r="N275" t="s">
        <v>57</v>
      </c>
      <c r="O275">
        <v>4</v>
      </c>
      <c r="P275">
        <v>5</v>
      </c>
      <c r="Q275">
        <v>1</v>
      </c>
      <c r="R275" t="s">
        <v>342</v>
      </c>
      <c r="S275">
        <v>193</v>
      </c>
      <c r="T275">
        <v>82.5</v>
      </c>
      <c r="U275">
        <v>71</v>
      </c>
      <c r="V275">
        <v>0</v>
      </c>
      <c r="W275">
        <v>0</v>
      </c>
    </row>
    <row r="276" spans="1:23" x14ac:dyDescent="0.3">
      <c r="A276">
        <v>124524012</v>
      </c>
      <c r="B276" t="s">
        <v>347</v>
      </c>
      <c r="C276" t="s">
        <v>244</v>
      </c>
      <c r="D276" t="s">
        <v>52</v>
      </c>
      <c r="E276">
        <v>120</v>
      </c>
      <c r="F276" t="s">
        <v>351</v>
      </c>
      <c r="G276" t="s">
        <v>185</v>
      </c>
      <c r="H276" t="s">
        <v>235</v>
      </c>
      <c r="I276" s="1">
        <v>1999990</v>
      </c>
      <c r="J276">
        <v>1</v>
      </c>
      <c r="K276" s="7">
        <f>Таблица1[[#This Row],[Штуки]]/SUMIFS(Таблица1[Штуки],Таблица1[Ветка],Таблица1[[#This Row],[Ветка]],Таблица1[Месяц],Таблица1[[#This Row],[Месяц]])</f>
        <v>1.3513513513513514E-2</v>
      </c>
      <c r="L276" s="1">
        <v>1094900</v>
      </c>
      <c r="M276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3.9160853967712697E-2</v>
      </c>
      <c r="N276" t="s">
        <v>57</v>
      </c>
      <c r="O276">
        <v>1</v>
      </c>
      <c r="P276">
        <v>5</v>
      </c>
      <c r="Q276">
        <v>1</v>
      </c>
      <c r="R276" t="s">
        <v>344</v>
      </c>
      <c r="S276">
        <v>80</v>
      </c>
      <c r="T276">
        <v>120</v>
      </c>
      <c r="U276">
        <v>82</v>
      </c>
      <c r="V276">
        <v>0</v>
      </c>
      <c r="W276">
        <v>-40</v>
      </c>
    </row>
    <row r="277" spans="1:23" x14ac:dyDescent="0.3">
      <c r="A277">
        <v>157686240</v>
      </c>
      <c r="B277" t="s">
        <v>343</v>
      </c>
      <c r="C277" t="s">
        <v>202</v>
      </c>
      <c r="D277" t="s">
        <v>203</v>
      </c>
      <c r="E277">
        <v>850</v>
      </c>
      <c r="F277" t="s">
        <v>358</v>
      </c>
      <c r="G277" t="s">
        <v>204</v>
      </c>
      <c r="H277" t="s">
        <v>235</v>
      </c>
      <c r="I277" s="1">
        <v>383965</v>
      </c>
      <c r="J277">
        <v>3</v>
      </c>
      <c r="K277" s="7">
        <f>Таблица1[[#This Row],[Штуки]]/SUMIFS(Таблица1[Штуки],Таблица1[Ветка],Таблица1[[#This Row],[Ветка]],Таблица1[Месяц],Таблица1[[#This Row],[Месяц]])</f>
        <v>0.10714285714285714</v>
      </c>
      <c r="L277" s="1">
        <v>1089759</v>
      </c>
      <c r="M277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8.1017962308948616E-2</v>
      </c>
      <c r="N277" t="s">
        <v>57</v>
      </c>
      <c r="O277">
        <v>2</v>
      </c>
      <c r="P277">
        <v>5</v>
      </c>
      <c r="Q277">
        <v>0</v>
      </c>
      <c r="R277" t="s">
        <v>344</v>
      </c>
      <c r="S277">
        <v>200</v>
      </c>
      <c r="T277">
        <v>87</v>
      </c>
      <c r="U277">
        <v>85.5</v>
      </c>
      <c r="V277">
        <v>3</v>
      </c>
      <c r="W277">
        <v>-18</v>
      </c>
    </row>
    <row r="278" spans="1:23" x14ac:dyDescent="0.3">
      <c r="A278">
        <v>114109997</v>
      </c>
      <c r="B278" t="s">
        <v>343</v>
      </c>
      <c r="C278" t="s">
        <v>118</v>
      </c>
      <c r="D278" t="s">
        <v>87</v>
      </c>
      <c r="E278">
        <v>800</v>
      </c>
      <c r="F278" t="s">
        <v>358</v>
      </c>
      <c r="G278" t="s">
        <v>188</v>
      </c>
      <c r="H278" t="s">
        <v>235</v>
      </c>
      <c r="I278" s="1">
        <v>539500</v>
      </c>
      <c r="J278">
        <v>2</v>
      </c>
      <c r="K278" s="7">
        <f>Таблица1[[#This Row],[Штуки]]/SUMIFS(Таблица1[Штуки],Таблица1[Ветка],Таблица1[[#This Row],[Ветка]],Таблица1[Месяц],Таблица1[[#This Row],[Месяц]])</f>
        <v>7.1428571428571425E-2</v>
      </c>
      <c r="L278" s="1">
        <v>1079000</v>
      </c>
      <c r="M278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8.0218086137719954E-2</v>
      </c>
      <c r="N278" t="s">
        <v>57</v>
      </c>
      <c r="O278">
        <v>2</v>
      </c>
      <c r="P278">
        <v>4.43</v>
      </c>
      <c r="Q278">
        <v>4</v>
      </c>
      <c r="R278" t="s">
        <v>344</v>
      </c>
      <c r="S278">
        <v>200</v>
      </c>
      <c r="T278">
        <v>84</v>
      </c>
      <c r="U278">
        <v>60</v>
      </c>
      <c r="V278">
        <v>8</v>
      </c>
      <c r="W278">
        <v>-22</v>
      </c>
    </row>
    <row r="279" spans="1:23" x14ac:dyDescent="0.3">
      <c r="A279">
        <v>117232074</v>
      </c>
      <c r="B279" t="s">
        <v>341</v>
      </c>
      <c r="C279" t="s">
        <v>113</v>
      </c>
      <c r="D279" t="s">
        <v>25</v>
      </c>
      <c r="E279">
        <v>410</v>
      </c>
      <c r="F279" t="s">
        <v>354</v>
      </c>
      <c r="G279" t="s">
        <v>179</v>
      </c>
      <c r="H279" t="s">
        <v>235</v>
      </c>
      <c r="I279" s="1">
        <v>263132</v>
      </c>
      <c r="J279">
        <v>4</v>
      </c>
      <c r="K279" s="7">
        <f>Таблица1[[#This Row],[Штуки]]/SUMIFS(Таблица1[Штуки],Таблица1[Ветка],Таблица1[[#This Row],[Ветка]],Таблица1[Месяц],Таблица1[[#This Row],[Месяц]])</f>
        <v>0.2</v>
      </c>
      <c r="L279" s="1">
        <v>1032915</v>
      </c>
      <c r="M279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0.21333879977239234</v>
      </c>
      <c r="N279" t="s">
        <v>23</v>
      </c>
      <c r="O279">
        <v>5</v>
      </c>
      <c r="P279">
        <v>5</v>
      </c>
      <c r="Q279">
        <v>54</v>
      </c>
      <c r="R279" t="s">
        <v>344</v>
      </c>
      <c r="S279">
        <v>132</v>
      </c>
      <c r="T279">
        <v>88.5</v>
      </c>
      <c r="U279">
        <v>66.5</v>
      </c>
      <c r="V279">
        <v>5</v>
      </c>
      <c r="W279">
        <v>-25</v>
      </c>
    </row>
    <row r="280" spans="1:23" x14ac:dyDescent="0.3">
      <c r="A280">
        <v>122939001</v>
      </c>
      <c r="B280" t="s">
        <v>341</v>
      </c>
      <c r="C280" t="s">
        <v>212</v>
      </c>
      <c r="D280" t="s">
        <v>25</v>
      </c>
      <c r="E280">
        <v>590</v>
      </c>
      <c r="F280" t="s">
        <v>355</v>
      </c>
      <c r="G280" t="s">
        <v>179</v>
      </c>
      <c r="H280" t="s">
        <v>235</v>
      </c>
      <c r="I280" s="1">
        <v>385998</v>
      </c>
      <c r="J280">
        <v>3</v>
      </c>
      <c r="K280" s="7">
        <f>Таблица1[[#This Row],[Штуки]]/SUMIFS(Таблица1[Штуки],Таблица1[Ветка],Таблица1[[#This Row],[Ветка]],Таблица1[Месяц],Таблица1[[#This Row],[Месяц]])</f>
        <v>1.7751479289940829E-2</v>
      </c>
      <c r="L280" s="1">
        <v>1008360</v>
      </c>
      <c r="M280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2.0680240790390617E-2</v>
      </c>
      <c r="N280" t="s">
        <v>57</v>
      </c>
      <c r="O280">
        <v>2</v>
      </c>
      <c r="P280">
        <v>5</v>
      </c>
      <c r="Q280">
        <v>10</v>
      </c>
      <c r="R280" t="s">
        <v>344</v>
      </c>
      <c r="S280">
        <v>179</v>
      </c>
      <c r="T280">
        <v>88.5</v>
      </c>
      <c r="U280">
        <v>66.5</v>
      </c>
      <c r="V280">
        <v>5</v>
      </c>
      <c r="W280">
        <v>-25</v>
      </c>
    </row>
    <row r="281" spans="1:23" x14ac:dyDescent="0.3">
      <c r="A281">
        <v>121623694</v>
      </c>
      <c r="B281" t="s">
        <v>341</v>
      </c>
      <c r="C281" t="s">
        <v>245</v>
      </c>
      <c r="D281" t="s">
        <v>81</v>
      </c>
      <c r="E281">
        <v>1300</v>
      </c>
      <c r="F281" t="s">
        <v>363</v>
      </c>
      <c r="G281" t="s">
        <v>188</v>
      </c>
      <c r="H281" t="s">
        <v>235</v>
      </c>
      <c r="I281" s="1">
        <v>927839</v>
      </c>
      <c r="J281">
        <v>1</v>
      </c>
      <c r="K281" s="7">
        <f>Таблица1[[#This Row],[Штуки]]/SUMIFS(Таблица1[Штуки],Таблица1[Ветка],Таблица1[[#This Row],[Ветка]],Таблица1[Месяц],Таблица1[[#This Row],[Месяц]])</f>
        <v>0.25</v>
      </c>
      <c r="L281" s="1">
        <v>1001435</v>
      </c>
      <c r="M281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0.35145037524983025</v>
      </c>
      <c r="N281" t="s">
        <v>57</v>
      </c>
      <c r="O281">
        <v>2</v>
      </c>
      <c r="P281">
        <v>0</v>
      </c>
      <c r="Q281">
        <v>0</v>
      </c>
      <c r="R281" t="s">
        <v>344</v>
      </c>
      <c r="S281">
        <v>250</v>
      </c>
      <c r="T281">
        <v>85</v>
      </c>
      <c r="U281">
        <v>96</v>
      </c>
      <c r="V281">
        <v>0</v>
      </c>
      <c r="W281">
        <v>-25</v>
      </c>
    </row>
    <row r="282" spans="1:23" x14ac:dyDescent="0.3">
      <c r="A282">
        <v>139085554</v>
      </c>
      <c r="B282" t="s">
        <v>341</v>
      </c>
      <c r="C282" t="s">
        <v>94</v>
      </c>
      <c r="D282" t="s">
        <v>52</v>
      </c>
      <c r="E282">
        <v>326</v>
      </c>
      <c r="F282" t="s">
        <v>353</v>
      </c>
      <c r="G282" t="s">
        <v>177</v>
      </c>
      <c r="H282" t="s">
        <v>235</v>
      </c>
      <c r="I282" s="1">
        <v>199000</v>
      </c>
      <c r="J282">
        <v>5</v>
      </c>
      <c r="K282" s="7">
        <f>Таблица1[[#This Row],[Штуки]]/SUMIFS(Таблица1[Штуки],Таблица1[Ветка],Таблица1[[#This Row],[Ветка]],Таблица1[Месяц],Таблица1[[#This Row],[Месяц]])</f>
        <v>3.6231884057971016E-2</v>
      </c>
      <c r="L282" s="1">
        <v>993997</v>
      </c>
      <c r="M282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3.5350333172561144E-2</v>
      </c>
      <c r="N282" t="s">
        <v>23</v>
      </c>
      <c r="O282">
        <v>5</v>
      </c>
      <c r="P282">
        <v>5</v>
      </c>
      <c r="Q282">
        <v>2</v>
      </c>
      <c r="R282" t="s">
        <v>344</v>
      </c>
      <c r="S282">
        <v>125</v>
      </c>
      <c r="T282">
        <v>91</v>
      </c>
      <c r="U282">
        <v>62</v>
      </c>
      <c r="V282">
        <v>3</v>
      </c>
      <c r="W282">
        <v>-18</v>
      </c>
    </row>
    <row r="283" spans="1:23" x14ac:dyDescent="0.3">
      <c r="A283">
        <v>113146979</v>
      </c>
      <c r="B283" t="s">
        <v>343</v>
      </c>
      <c r="C283" t="s">
        <v>246</v>
      </c>
      <c r="D283" t="s">
        <v>247</v>
      </c>
      <c r="E283">
        <v>500</v>
      </c>
      <c r="F283" t="s">
        <v>355</v>
      </c>
      <c r="G283" t="s">
        <v>179</v>
      </c>
      <c r="H283" t="s">
        <v>235</v>
      </c>
      <c r="I283" s="1">
        <v>329990</v>
      </c>
      <c r="J283">
        <v>3</v>
      </c>
      <c r="K283" s="7">
        <f>Таблица1[[#This Row],[Штуки]]/SUMIFS(Таблица1[Штуки],Таблица1[Ветка],Таблица1[[#This Row],[Ветка]],Таблица1[Месяц],Таблица1[[#This Row],[Месяц]])</f>
        <v>1.7751479289940829E-2</v>
      </c>
      <c r="L283" s="1">
        <v>989970</v>
      </c>
      <c r="M283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2.0303084191422703E-2</v>
      </c>
      <c r="N283" t="s">
        <v>57</v>
      </c>
      <c r="O283">
        <v>1</v>
      </c>
      <c r="P283">
        <v>5</v>
      </c>
      <c r="Q283">
        <v>14</v>
      </c>
      <c r="R283" t="s">
        <v>344</v>
      </c>
      <c r="S283">
        <v>170.2</v>
      </c>
      <c r="T283">
        <v>84.2</v>
      </c>
      <c r="U283">
        <v>70.900000000000006</v>
      </c>
      <c r="V283">
        <v>0</v>
      </c>
      <c r="W283">
        <v>0</v>
      </c>
    </row>
    <row r="284" spans="1:23" x14ac:dyDescent="0.3">
      <c r="A284">
        <v>137444909</v>
      </c>
      <c r="B284" t="s">
        <v>341</v>
      </c>
      <c r="C284" t="s">
        <v>85</v>
      </c>
      <c r="D284" t="s">
        <v>20</v>
      </c>
      <c r="E284">
        <v>500</v>
      </c>
      <c r="F284" t="s">
        <v>355</v>
      </c>
      <c r="G284" t="s">
        <v>177</v>
      </c>
      <c r="H284" t="s">
        <v>235</v>
      </c>
      <c r="I284" s="1">
        <v>298900</v>
      </c>
      <c r="J284">
        <v>3</v>
      </c>
      <c r="K284" s="7">
        <f>Таблица1[[#This Row],[Штуки]]/SUMIFS(Таблица1[Штуки],Таблица1[Ветка],Таблица1[[#This Row],[Ветка]],Таблица1[Месяц],Таблица1[[#This Row],[Месяц]])</f>
        <v>1.7751479289940829E-2</v>
      </c>
      <c r="L284" s="1">
        <v>970980</v>
      </c>
      <c r="M284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1.9913622320057799E-2</v>
      </c>
      <c r="N284" t="s">
        <v>23</v>
      </c>
      <c r="O284">
        <v>1</v>
      </c>
      <c r="P284">
        <v>5</v>
      </c>
      <c r="Q284">
        <v>0</v>
      </c>
      <c r="R284" t="s">
        <v>342</v>
      </c>
      <c r="S284">
        <v>150</v>
      </c>
      <c r="T284">
        <v>85</v>
      </c>
      <c r="U284">
        <v>76</v>
      </c>
      <c r="V284">
        <v>5</v>
      </c>
      <c r="W284">
        <v>-24</v>
      </c>
    </row>
    <row r="285" spans="1:23" x14ac:dyDescent="0.3">
      <c r="A285">
        <v>154652840</v>
      </c>
      <c r="B285" t="s">
        <v>343</v>
      </c>
      <c r="C285" t="s">
        <v>200</v>
      </c>
      <c r="D285" t="s">
        <v>38</v>
      </c>
      <c r="E285">
        <v>560</v>
      </c>
      <c r="F285" t="s">
        <v>355</v>
      </c>
      <c r="G285" t="s">
        <v>185</v>
      </c>
      <c r="H285" t="s">
        <v>235</v>
      </c>
      <c r="I285" s="1">
        <v>258990</v>
      </c>
      <c r="J285">
        <v>4</v>
      </c>
      <c r="K285" s="7">
        <f>Таблица1[[#This Row],[Штуки]]/SUMIFS(Таблица1[Штуки],Таблица1[Ветка],Таблица1[[#This Row],[Ветка]],Таблица1[Месяц],Таблица1[[#This Row],[Месяц]])</f>
        <v>2.3668639053254437E-2</v>
      </c>
      <c r="L285" s="1">
        <v>942960</v>
      </c>
      <c r="M285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1.9338966099118109E-2</v>
      </c>
      <c r="N285" t="s">
        <v>57</v>
      </c>
      <c r="O285">
        <v>1</v>
      </c>
      <c r="P285">
        <v>4</v>
      </c>
      <c r="Q285">
        <v>1</v>
      </c>
      <c r="R285" t="s">
        <v>344</v>
      </c>
      <c r="S285">
        <v>160</v>
      </c>
      <c r="T285">
        <v>84</v>
      </c>
      <c r="U285">
        <v>67.400000000000006</v>
      </c>
      <c r="V285">
        <v>2</v>
      </c>
      <c r="W285">
        <v>-24</v>
      </c>
    </row>
    <row r="286" spans="1:23" x14ac:dyDescent="0.3">
      <c r="A286">
        <v>153721974</v>
      </c>
      <c r="B286" t="s">
        <v>343</v>
      </c>
      <c r="C286" t="s">
        <v>162</v>
      </c>
      <c r="D286" t="s">
        <v>104</v>
      </c>
      <c r="E286">
        <v>600</v>
      </c>
      <c r="F286" t="s">
        <v>356</v>
      </c>
      <c r="G286" t="s">
        <v>179</v>
      </c>
      <c r="H286" t="s">
        <v>235</v>
      </c>
      <c r="I286" s="1">
        <v>230990</v>
      </c>
      <c r="J286">
        <v>4</v>
      </c>
      <c r="K286" s="7">
        <f>Таблица1[[#This Row],[Штуки]]/SUMIFS(Таблица1[Штуки],Таблица1[Ветка],Таблица1[[#This Row],[Ветка]],Таблица1[Месяц],Таблица1[[#This Row],[Месяц]])</f>
        <v>4.5454545454545456E-2</v>
      </c>
      <c r="L286" s="1">
        <v>929128</v>
      </c>
      <c r="M286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3.5370864962706007E-2</v>
      </c>
      <c r="N286" t="s">
        <v>57</v>
      </c>
      <c r="O286">
        <v>4</v>
      </c>
      <c r="P286">
        <v>5</v>
      </c>
      <c r="Q286">
        <v>1</v>
      </c>
      <c r="R286" t="s">
        <v>342</v>
      </c>
      <c r="S286">
        <v>168.5</v>
      </c>
      <c r="T286">
        <v>82.5</v>
      </c>
      <c r="U286">
        <v>71</v>
      </c>
      <c r="V286">
        <v>0</v>
      </c>
      <c r="W286">
        <v>-18</v>
      </c>
    </row>
    <row r="287" spans="1:23" x14ac:dyDescent="0.3">
      <c r="A287">
        <v>159645113</v>
      </c>
      <c r="B287" t="s">
        <v>346</v>
      </c>
      <c r="C287" t="s">
        <v>248</v>
      </c>
      <c r="D287" t="s">
        <v>249</v>
      </c>
      <c r="E287">
        <v>1200</v>
      </c>
      <c r="F287" t="s">
        <v>362</v>
      </c>
      <c r="G287" t="s">
        <v>180</v>
      </c>
      <c r="H287" t="s">
        <v>235</v>
      </c>
      <c r="I287" s="1">
        <v>899990</v>
      </c>
      <c r="J287">
        <v>1</v>
      </c>
      <c r="K287" s="7">
        <f>Таблица1[[#This Row],[Штуки]]/SUMIFS(Таблица1[Штуки],Таблица1[Ветка],Таблица1[[#This Row],[Ветка]],Таблица1[Месяц],Таблица1[[#This Row],[Месяц]])</f>
        <v>0.125</v>
      </c>
      <c r="L287" s="1">
        <v>899999</v>
      </c>
      <c r="M287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0.18295254429336838</v>
      </c>
      <c r="N287" t="s">
        <v>57</v>
      </c>
      <c r="O287">
        <v>1</v>
      </c>
      <c r="P287">
        <v>0</v>
      </c>
      <c r="Q287">
        <v>0</v>
      </c>
      <c r="R287" t="s">
        <v>344</v>
      </c>
      <c r="S287">
        <v>120</v>
      </c>
      <c r="T287">
        <v>196</v>
      </c>
      <c r="U287">
        <v>76</v>
      </c>
      <c r="V287">
        <v>0</v>
      </c>
      <c r="W287">
        <v>-15</v>
      </c>
    </row>
    <row r="288" spans="1:23" x14ac:dyDescent="0.3">
      <c r="A288">
        <v>147291509</v>
      </c>
      <c r="B288" t="s">
        <v>343</v>
      </c>
      <c r="C288" t="s">
        <v>250</v>
      </c>
      <c r="D288" t="s">
        <v>251</v>
      </c>
      <c r="E288">
        <v>708</v>
      </c>
      <c r="F288" t="s">
        <v>357</v>
      </c>
      <c r="G288" t="s">
        <v>179</v>
      </c>
      <c r="H288" t="s">
        <v>235</v>
      </c>
      <c r="I288" s="1">
        <v>425000</v>
      </c>
      <c r="J288">
        <v>2</v>
      </c>
      <c r="K288" s="7">
        <f>Таблица1[[#This Row],[Штуки]]/SUMIFS(Таблица1[Штуки],Таблица1[Ветка],Таблица1[[#This Row],[Ветка]],Таблица1[Месяц],Таблица1[[#This Row],[Месяц]])</f>
        <v>1.5748031496062992E-2</v>
      </c>
      <c r="L288" s="1">
        <v>878990</v>
      </c>
      <c r="M288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1.7429846153187208E-2</v>
      </c>
      <c r="N288" t="s">
        <v>57</v>
      </c>
      <c r="O288">
        <v>7</v>
      </c>
      <c r="P288">
        <v>5</v>
      </c>
      <c r="Q288">
        <v>2</v>
      </c>
      <c r="R288" t="s">
        <v>344</v>
      </c>
      <c r="S288">
        <v>211</v>
      </c>
      <c r="T288">
        <v>80</v>
      </c>
      <c r="U288">
        <v>79</v>
      </c>
      <c r="V288">
        <v>2</v>
      </c>
      <c r="W288">
        <v>0</v>
      </c>
    </row>
    <row r="289" spans="1:23" x14ac:dyDescent="0.3">
      <c r="A289">
        <v>122652103</v>
      </c>
      <c r="B289" t="s">
        <v>343</v>
      </c>
      <c r="C289" t="s">
        <v>189</v>
      </c>
      <c r="D289" t="s">
        <v>71</v>
      </c>
      <c r="E289">
        <v>1700</v>
      </c>
      <c r="F289" t="s">
        <v>366</v>
      </c>
      <c r="G289" t="s">
        <v>179</v>
      </c>
      <c r="H289" t="s">
        <v>235</v>
      </c>
      <c r="I289" s="1">
        <v>850400</v>
      </c>
      <c r="J289">
        <v>1</v>
      </c>
      <c r="K289" s="7">
        <f>Таблица1[[#This Row],[Штуки]]/SUMIFS(Таблица1[Штуки],Таблица1[Ветка],Таблица1[[#This Row],[Ветка]],Таблица1[Месяц],Таблица1[[#This Row],[Месяц]])</f>
        <v>1</v>
      </c>
      <c r="L289" s="1">
        <v>850400</v>
      </c>
      <c r="M289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1</v>
      </c>
      <c r="N289" t="s">
        <v>23</v>
      </c>
      <c r="O289">
        <v>2</v>
      </c>
      <c r="P289">
        <v>5</v>
      </c>
      <c r="Q289">
        <v>0</v>
      </c>
      <c r="R289" t="s">
        <v>344</v>
      </c>
      <c r="S289">
        <v>265</v>
      </c>
      <c r="T289">
        <v>90</v>
      </c>
      <c r="U289">
        <v>110</v>
      </c>
      <c r="V289">
        <v>2</v>
      </c>
      <c r="W289">
        <v>-18</v>
      </c>
    </row>
    <row r="290" spans="1:23" x14ac:dyDescent="0.3">
      <c r="A290">
        <v>104775274</v>
      </c>
      <c r="B290" t="s">
        <v>343</v>
      </c>
      <c r="C290" t="s">
        <v>156</v>
      </c>
      <c r="D290" t="s">
        <v>157</v>
      </c>
      <c r="E290">
        <v>500</v>
      </c>
      <c r="F290" t="s">
        <v>355</v>
      </c>
      <c r="G290" t="s">
        <v>179</v>
      </c>
      <c r="H290" t="s">
        <v>235</v>
      </c>
      <c r="I290" s="1">
        <v>279345</v>
      </c>
      <c r="J290">
        <v>3</v>
      </c>
      <c r="K290" s="7">
        <f>Таблица1[[#This Row],[Штуки]]/SUMIFS(Таблица1[Штуки],Таблица1[Ветка],Таблица1[[#This Row],[Ветка]],Таблица1[Месяц],Таблица1[[#This Row],[Месяц]])</f>
        <v>1.7751479289940829E-2</v>
      </c>
      <c r="L290" s="1">
        <v>838185</v>
      </c>
      <c r="M290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1.719015790679277E-2</v>
      </c>
      <c r="N290" t="s">
        <v>57</v>
      </c>
      <c r="O290">
        <v>3</v>
      </c>
      <c r="P290">
        <v>5</v>
      </c>
      <c r="Q290">
        <v>8</v>
      </c>
      <c r="R290" t="s">
        <v>344</v>
      </c>
      <c r="S290">
        <v>153</v>
      </c>
      <c r="T290">
        <v>80</v>
      </c>
      <c r="U290">
        <v>75</v>
      </c>
      <c r="V290">
        <v>0</v>
      </c>
      <c r="W290">
        <v>-24</v>
      </c>
    </row>
    <row r="291" spans="1:23" x14ac:dyDescent="0.3">
      <c r="A291">
        <v>119264283</v>
      </c>
      <c r="B291" t="s">
        <v>341</v>
      </c>
      <c r="C291" t="s">
        <v>142</v>
      </c>
      <c r="D291" t="s">
        <v>35</v>
      </c>
      <c r="E291">
        <v>105</v>
      </c>
      <c r="F291" t="s">
        <v>351</v>
      </c>
      <c r="G291" t="s">
        <v>179</v>
      </c>
      <c r="H291" t="s">
        <v>235</v>
      </c>
      <c r="I291" s="1">
        <v>86700</v>
      </c>
      <c r="J291">
        <v>9</v>
      </c>
      <c r="K291" s="7">
        <f>Таблица1[[#This Row],[Штуки]]/SUMIFS(Таблица1[Штуки],Таблица1[Ветка],Таблица1[[#This Row],[Ветка]],Таблица1[Месяц],Таблица1[[#This Row],[Месяц]])</f>
        <v>0.12162162162162163</v>
      </c>
      <c r="L291" s="1">
        <v>805046</v>
      </c>
      <c r="M291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2.8793760930944597E-2</v>
      </c>
      <c r="N291" t="s">
        <v>57</v>
      </c>
      <c r="O291">
        <v>1</v>
      </c>
      <c r="P291">
        <v>4.9000000000000004</v>
      </c>
      <c r="Q291">
        <v>13</v>
      </c>
      <c r="R291" t="s">
        <v>344</v>
      </c>
      <c r="S291">
        <v>60</v>
      </c>
      <c r="T291">
        <v>80</v>
      </c>
      <c r="U291">
        <v>55</v>
      </c>
      <c r="V291">
        <v>1</v>
      </c>
      <c r="W291">
        <v>-18</v>
      </c>
    </row>
    <row r="292" spans="1:23" x14ac:dyDescent="0.3">
      <c r="A292">
        <v>140652811</v>
      </c>
      <c r="B292" t="s">
        <v>343</v>
      </c>
      <c r="C292" t="s">
        <v>51</v>
      </c>
      <c r="D292" t="s">
        <v>52</v>
      </c>
      <c r="E292">
        <v>800</v>
      </c>
      <c r="F292" t="s">
        <v>358</v>
      </c>
      <c r="G292" t="s">
        <v>179</v>
      </c>
      <c r="H292" t="s">
        <v>235</v>
      </c>
      <c r="I292" s="1">
        <v>333000</v>
      </c>
      <c r="J292">
        <v>2</v>
      </c>
      <c r="K292" s="7">
        <f>Таблица1[[#This Row],[Штуки]]/SUMIFS(Таблица1[Штуки],Таблица1[Ветка],Таблица1[[#This Row],[Ветка]],Таблица1[Месяц],Таблица1[[#This Row],[Месяц]])</f>
        <v>7.1428571428571425E-2</v>
      </c>
      <c r="L292" s="1">
        <v>776328</v>
      </c>
      <c r="M292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5.7715983665545742E-2</v>
      </c>
      <c r="N292" t="s">
        <v>23</v>
      </c>
      <c r="O292">
        <v>1</v>
      </c>
      <c r="P292">
        <v>5</v>
      </c>
      <c r="Q292">
        <v>7</v>
      </c>
      <c r="R292" t="s">
        <v>344</v>
      </c>
      <c r="S292">
        <v>194.5</v>
      </c>
      <c r="T292">
        <v>88</v>
      </c>
      <c r="U292">
        <v>80</v>
      </c>
      <c r="V292">
        <v>2</v>
      </c>
      <c r="W292">
        <v>-18</v>
      </c>
    </row>
    <row r="293" spans="1:23" x14ac:dyDescent="0.3">
      <c r="A293">
        <v>142749485</v>
      </c>
      <c r="B293" t="s">
        <v>343</v>
      </c>
      <c r="C293" t="s">
        <v>252</v>
      </c>
      <c r="D293" t="s">
        <v>253</v>
      </c>
      <c r="E293">
        <v>1600</v>
      </c>
      <c r="F293" t="s">
        <v>365</v>
      </c>
      <c r="G293" t="s">
        <v>179</v>
      </c>
      <c r="H293" t="s">
        <v>235</v>
      </c>
      <c r="I293" s="1">
        <v>690000</v>
      </c>
      <c r="J293">
        <v>1</v>
      </c>
      <c r="K293" s="7">
        <f>Таблица1[[#This Row],[Штуки]]/SUMIFS(Таблица1[Штуки],Таблица1[Ветка],Таблица1[[#This Row],[Ветка]],Таблица1[Месяц],Таблица1[[#This Row],[Месяц]])</f>
        <v>1</v>
      </c>
      <c r="L293" s="1">
        <v>701451</v>
      </c>
      <c r="M293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1</v>
      </c>
      <c r="N293" t="s">
        <v>23</v>
      </c>
      <c r="O293">
        <v>1</v>
      </c>
      <c r="P293">
        <v>5</v>
      </c>
      <c r="Q293">
        <v>1</v>
      </c>
      <c r="R293" t="s">
        <v>342</v>
      </c>
      <c r="S293">
        <v>307</v>
      </c>
      <c r="T293">
        <v>88</v>
      </c>
      <c r="U293">
        <v>101</v>
      </c>
      <c r="V293">
        <v>2</v>
      </c>
      <c r="W293">
        <v>-18</v>
      </c>
    </row>
    <row r="294" spans="1:23" x14ac:dyDescent="0.3">
      <c r="A294">
        <v>140689760</v>
      </c>
      <c r="B294" t="s">
        <v>346</v>
      </c>
      <c r="C294" t="s">
        <v>254</v>
      </c>
      <c r="D294" t="s">
        <v>52</v>
      </c>
      <c r="E294">
        <v>915</v>
      </c>
      <c r="F294" t="s">
        <v>359</v>
      </c>
      <c r="G294" t="s">
        <v>185</v>
      </c>
      <c r="H294" t="s">
        <v>235</v>
      </c>
      <c r="I294" s="1">
        <v>814200</v>
      </c>
      <c r="J294">
        <v>1</v>
      </c>
      <c r="K294" s="7">
        <f>Таблица1[[#This Row],[Штуки]]/SUMIFS(Таблица1[Штуки],Таблица1[Ветка],Таблица1[[#This Row],[Ветка]],Таблица1[Месяц],Таблица1[[#This Row],[Месяц]])</f>
        <v>0.25</v>
      </c>
      <c r="L294" s="1">
        <v>700659</v>
      </c>
      <c r="M294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0.31693844963835149</v>
      </c>
      <c r="N294" t="s">
        <v>96</v>
      </c>
      <c r="O294">
        <v>2</v>
      </c>
      <c r="P294">
        <v>0</v>
      </c>
      <c r="Q294">
        <v>0</v>
      </c>
      <c r="R294" t="s">
        <v>344</v>
      </c>
      <c r="S294">
        <v>122</v>
      </c>
      <c r="T294">
        <v>165</v>
      </c>
      <c r="U294">
        <v>75</v>
      </c>
      <c r="V294">
        <v>0</v>
      </c>
      <c r="W294">
        <v>-32</v>
      </c>
    </row>
    <row r="295" spans="1:23" x14ac:dyDescent="0.3">
      <c r="A295">
        <v>143487775</v>
      </c>
      <c r="B295" t="s">
        <v>343</v>
      </c>
      <c r="C295" t="s">
        <v>210</v>
      </c>
      <c r="D295" t="s">
        <v>52</v>
      </c>
      <c r="E295">
        <v>1250</v>
      </c>
      <c r="F295" t="s">
        <v>362</v>
      </c>
      <c r="G295" t="s">
        <v>179</v>
      </c>
      <c r="H295" t="s">
        <v>235</v>
      </c>
      <c r="I295" s="1">
        <v>672200</v>
      </c>
      <c r="J295">
        <v>1</v>
      </c>
      <c r="K295" s="7">
        <f>Таблица1[[#This Row],[Штуки]]/SUMIFS(Таблица1[Штуки],Таблица1[Ветка],Таблица1[[#This Row],[Ветка]],Таблица1[Месяц],Таблица1[[#This Row],[Месяц]])</f>
        <v>0.125</v>
      </c>
      <c r="L295" s="1">
        <v>672200</v>
      </c>
      <c r="M295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0.13664537435486288</v>
      </c>
      <c r="N295" t="s">
        <v>57</v>
      </c>
      <c r="O295">
        <v>3</v>
      </c>
      <c r="P295">
        <v>5</v>
      </c>
      <c r="Q295">
        <v>0</v>
      </c>
      <c r="R295" t="s">
        <v>344</v>
      </c>
      <c r="S295">
        <v>250</v>
      </c>
      <c r="T295">
        <v>80</v>
      </c>
      <c r="U295">
        <v>90</v>
      </c>
      <c r="V295">
        <v>3</v>
      </c>
      <c r="W295">
        <v>-18</v>
      </c>
    </row>
    <row r="296" spans="1:23" x14ac:dyDescent="0.3">
      <c r="A296">
        <v>146357834</v>
      </c>
      <c r="B296" t="s">
        <v>341</v>
      </c>
      <c r="C296" t="s">
        <v>255</v>
      </c>
      <c r="D296" t="s">
        <v>52</v>
      </c>
      <c r="E296">
        <v>628</v>
      </c>
      <c r="F296" t="s">
        <v>356</v>
      </c>
      <c r="G296" t="s">
        <v>179</v>
      </c>
      <c r="H296" t="s">
        <v>235</v>
      </c>
      <c r="I296" s="1">
        <v>589900</v>
      </c>
      <c r="J296">
        <v>1</v>
      </c>
      <c r="K296" s="7">
        <f>Таблица1[[#This Row],[Штуки]]/SUMIFS(Таблица1[Штуки],Таблица1[Ветка],Таблица1[[#This Row],[Ветка]],Таблица1[Месяц],Таблица1[[#This Row],[Месяц]])</f>
        <v>1.1363636363636364E-2</v>
      </c>
      <c r="L296" s="1">
        <v>667047</v>
      </c>
      <c r="M296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2.53937340826863E-2</v>
      </c>
      <c r="N296" t="s">
        <v>96</v>
      </c>
      <c r="O296">
        <v>3</v>
      </c>
      <c r="P296">
        <v>0</v>
      </c>
      <c r="Q296">
        <v>0</v>
      </c>
      <c r="R296" t="s">
        <v>342</v>
      </c>
      <c r="S296">
        <v>200</v>
      </c>
      <c r="T296">
        <v>80</v>
      </c>
      <c r="U296">
        <v>95</v>
      </c>
      <c r="V296">
        <v>6</v>
      </c>
      <c r="W296">
        <v>-18</v>
      </c>
    </row>
    <row r="297" spans="1:23" x14ac:dyDescent="0.3">
      <c r="A297">
        <v>141167073</v>
      </c>
      <c r="B297" t="s">
        <v>343</v>
      </c>
      <c r="C297" t="s">
        <v>106</v>
      </c>
      <c r="D297" t="s">
        <v>107</v>
      </c>
      <c r="E297">
        <v>502</v>
      </c>
      <c r="F297" t="s">
        <v>355</v>
      </c>
      <c r="G297" t="s">
        <v>179</v>
      </c>
      <c r="H297" t="s">
        <v>235</v>
      </c>
      <c r="I297" s="1">
        <v>309958</v>
      </c>
      <c r="J297">
        <v>2</v>
      </c>
      <c r="K297" s="7">
        <f>Таблица1[[#This Row],[Штуки]]/SUMIFS(Таблица1[Штуки],Таблица1[Ветка],Таблица1[[#This Row],[Ветка]],Таблица1[Месяц],Таблица1[[#This Row],[Месяц]])</f>
        <v>1.1834319526627219E-2</v>
      </c>
      <c r="L297" s="1">
        <v>663690</v>
      </c>
      <c r="M297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1.3611477061936559E-2</v>
      </c>
      <c r="N297" t="s">
        <v>57</v>
      </c>
      <c r="O297">
        <v>6</v>
      </c>
      <c r="P297">
        <v>4.8</v>
      </c>
      <c r="Q297">
        <v>11</v>
      </c>
      <c r="R297" t="s">
        <v>344</v>
      </c>
      <c r="S297">
        <v>155</v>
      </c>
      <c r="T297">
        <v>89</v>
      </c>
      <c r="U297">
        <v>77</v>
      </c>
      <c r="V297">
        <v>4</v>
      </c>
      <c r="W297">
        <v>0</v>
      </c>
    </row>
    <row r="298" spans="1:23" x14ac:dyDescent="0.3">
      <c r="A298">
        <v>159837212</v>
      </c>
      <c r="B298" t="s">
        <v>346</v>
      </c>
      <c r="C298" t="s">
        <v>256</v>
      </c>
      <c r="D298" t="s">
        <v>100</v>
      </c>
      <c r="E298">
        <v>1200</v>
      </c>
      <c r="F298" t="s">
        <v>362</v>
      </c>
      <c r="G298" t="s">
        <v>196</v>
      </c>
      <c r="H298" t="s">
        <v>235</v>
      </c>
      <c r="I298" s="1">
        <v>660000</v>
      </c>
      <c r="J298">
        <v>1</v>
      </c>
      <c r="K298" s="7">
        <f>Таблица1[[#This Row],[Штуки]]/SUMIFS(Таблица1[Штуки],Таблица1[Ветка],Таблица1[[#This Row],[Ветка]],Таблица1[Месяц],Таблица1[[#This Row],[Месяц]])</f>
        <v>0.125</v>
      </c>
      <c r="L298" s="1">
        <v>660000</v>
      </c>
      <c r="M298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0.13416534822107928</v>
      </c>
      <c r="N298" t="s">
        <v>96</v>
      </c>
      <c r="O298">
        <v>1</v>
      </c>
      <c r="P298">
        <v>0</v>
      </c>
      <c r="Q298">
        <v>0</v>
      </c>
      <c r="R298" t="s">
        <v>342</v>
      </c>
      <c r="S298">
        <v>120</v>
      </c>
      <c r="T298">
        <v>196</v>
      </c>
      <c r="U298">
        <v>76</v>
      </c>
      <c r="V298">
        <v>0</v>
      </c>
      <c r="W298">
        <v>-16</v>
      </c>
    </row>
    <row r="299" spans="1:23" x14ac:dyDescent="0.3">
      <c r="A299">
        <v>141656191</v>
      </c>
      <c r="B299" t="s">
        <v>341</v>
      </c>
      <c r="C299" t="s">
        <v>257</v>
      </c>
      <c r="D299" t="s">
        <v>20</v>
      </c>
      <c r="E299">
        <v>768</v>
      </c>
      <c r="F299" t="s">
        <v>357</v>
      </c>
      <c r="G299" t="s">
        <v>179</v>
      </c>
      <c r="H299" t="s">
        <v>235</v>
      </c>
      <c r="I299" s="1">
        <v>699000</v>
      </c>
      <c r="J299">
        <v>2</v>
      </c>
      <c r="K299" s="7">
        <f>Таблица1[[#This Row],[Штуки]]/SUMIFS(Таблица1[Штуки],Таблица1[Ветка],Таблица1[[#This Row],[Ветка]],Таблица1[Месяц],Таблица1[[#This Row],[Месяц]])</f>
        <v>1.5748031496062992E-2</v>
      </c>
      <c r="L299" s="1">
        <v>656444</v>
      </c>
      <c r="M299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1.3016892033109391E-2</v>
      </c>
      <c r="N299" t="s">
        <v>96</v>
      </c>
      <c r="O299">
        <v>1</v>
      </c>
      <c r="P299">
        <v>0</v>
      </c>
      <c r="Q299">
        <v>0</v>
      </c>
      <c r="R299" t="s">
        <v>342</v>
      </c>
      <c r="S299">
        <v>200</v>
      </c>
      <c r="T299">
        <v>88</v>
      </c>
      <c r="U299">
        <v>83</v>
      </c>
      <c r="V299">
        <v>6</v>
      </c>
      <c r="W299">
        <v>-22</v>
      </c>
    </row>
    <row r="300" spans="1:23" x14ac:dyDescent="0.3">
      <c r="A300">
        <v>120864386</v>
      </c>
      <c r="B300" t="s">
        <v>343</v>
      </c>
      <c r="C300" t="s">
        <v>258</v>
      </c>
      <c r="D300" t="s">
        <v>216</v>
      </c>
      <c r="E300">
        <v>1100</v>
      </c>
      <c r="F300" t="s">
        <v>361</v>
      </c>
      <c r="G300" t="s">
        <v>179</v>
      </c>
      <c r="H300" t="s">
        <v>235</v>
      </c>
      <c r="I300" s="1">
        <v>610000</v>
      </c>
      <c r="J300">
        <v>1</v>
      </c>
      <c r="K300" s="7">
        <f>Таблица1[[#This Row],[Штуки]]/SUMIFS(Таблица1[Штуки],Таблица1[Ветка],Таблица1[[#This Row],[Ветка]],Таблица1[Месяц],Таблица1[[#This Row],[Месяц]])</f>
        <v>0.14285714285714285</v>
      </c>
      <c r="L300" s="1">
        <v>609000</v>
      </c>
      <c r="M300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0.12036974264395599</v>
      </c>
      <c r="N300" t="s">
        <v>96</v>
      </c>
      <c r="O300">
        <v>1</v>
      </c>
      <c r="P300">
        <v>0</v>
      </c>
      <c r="Q300">
        <v>0</v>
      </c>
      <c r="R300" t="s">
        <v>344</v>
      </c>
      <c r="S300">
        <v>252</v>
      </c>
      <c r="T300">
        <v>87</v>
      </c>
      <c r="U300">
        <v>91</v>
      </c>
      <c r="V300">
        <v>0</v>
      </c>
      <c r="W300">
        <v>-18</v>
      </c>
    </row>
    <row r="301" spans="1:23" x14ac:dyDescent="0.3">
      <c r="A301">
        <v>134892236</v>
      </c>
      <c r="B301" t="s">
        <v>346</v>
      </c>
      <c r="C301" t="s">
        <v>259</v>
      </c>
      <c r="D301" t="s">
        <v>62</v>
      </c>
      <c r="E301">
        <v>500</v>
      </c>
      <c r="F301" t="s">
        <v>355</v>
      </c>
      <c r="G301" t="s">
        <v>179</v>
      </c>
      <c r="H301" t="s">
        <v>235</v>
      </c>
      <c r="I301" s="1">
        <v>690600</v>
      </c>
      <c r="J301">
        <v>1</v>
      </c>
      <c r="K301" s="7">
        <f>Таблица1[[#This Row],[Штуки]]/SUMIFS(Таблица1[Штуки],Таблица1[Ветка],Таблица1[[#This Row],[Ветка]],Таблица1[Месяц],Таблица1[[#This Row],[Месяц]])</f>
        <v>5.9171597633136093E-3</v>
      </c>
      <c r="L301" s="1">
        <v>576500</v>
      </c>
      <c r="M301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1.1823315894779831E-2</v>
      </c>
      <c r="N301" t="s">
        <v>96</v>
      </c>
      <c r="O301">
        <v>2</v>
      </c>
      <c r="P301">
        <v>0</v>
      </c>
      <c r="Q301">
        <v>0</v>
      </c>
      <c r="R301" t="s">
        <v>345</v>
      </c>
      <c r="S301">
        <v>69.5</v>
      </c>
      <c r="T301">
        <v>202.8</v>
      </c>
      <c r="U301">
        <v>69.5</v>
      </c>
      <c r="V301">
        <v>0</v>
      </c>
      <c r="W301">
        <v>-18</v>
      </c>
    </row>
    <row r="302" spans="1:23" x14ac:dyDescent="0.3">
      <c r="A302">
        <v>117946838</v>
      </c>
      <c r="B302" t="s">
        <v>341</v>
      </c>
      <c r="C302" t="s">
        <v>109</v>
      </c>
      <c r="D302" t="s">
        <v>71</v>
      </c>
      <c r="E302">
        <v>800</v>
      </c>
      <c r="F302" t="s">
        <v>358</v>
      </c>
      <c r="G302" t="s">
        <v>180</v>
      </c>
      <c r="H302" t="s">
        <v>235</v>
      </c>
      <c r="I302" s="1">
        <v>574600</v>
      </c>
      <c r="J302">
        <v>1</v>
      </c>
      <c r="K302" s="7">
        <f>Таблица1[[#This Row],[Штуки]]/SUMIFS(Таблица1[Штуки],Таблица1[Ветка],Таблица1[[#This Row],[Ветка]],Таблица1[Месяц],Таблица1[[#This Row],[Месяц]])</f>
        <v>3.5714285714285712E-2</v>
      </c>
      <c r="L302" s="1">
        <v>574600</v>
      </c>
      <c r="M302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4.2718547075749666E-2</v>
      </c>
      <c r="N302" t="s">
        <v>57</v>
      </c>
      <c r="O302">
        <v>2</v>
      </c>
      <c r="P302">
        <v>5</v>
      </c>
      <c r="Q302">
        <v>1</v>
      </c>
      <c r="R302" t="s">
        <v>344</v>
      </c>
      <c r="S302">
        <v>200</v>
      </c>
      <c r="T302">
        <v>85</v>
      </c>
      <c r="U302">
        <v>86</v>
      </c>
      <c r="V302">
        <v>4</v>
      </c>
      <c r="W302">
        <v>0</v>
      </c>
    </row>
    <row r="303" spans="1:23" x14ac:dyDescent="0.3">
      <c r="A303">
        <v>128436967</v>
      </c>
      <c r="B303" t="s">
        <v>341</v>
      </c>
      <c r="C303" t="s">
        <v>260</v>
      </c>
      <c r="D303" t="s">
        <v>216</v>
      </c>
      <c r="E303">
        <v>1100</v>
      </c>
      <c r="F303" t="s">
        <v>361</v>
      </c>
      <c r="G303" t="s">
        <v>180</v>
      </c>
      <c r="H303" t="s">
        <v>235</v>
      </c>
      <c r="I303" s="1">
        <v>520000</v>
      </c>
      <c r="J303">
        <v>1</v>
      </c>
      <c r="K303" s="7">
        <f>Таблица1[[#This Row],[Штуки]]/SUMIFS(Таблица1[Штуки],Таблица1[Ветка],Таблица1[[#This Row],[Ветка]],Таблица1[Месяц],Таблица1[[#This Row],[Месяц]])</f>
        <v>0.14285714285714285</v>
      </c>
      <c r="L303" s="1">
        <v>550000</v>
      </c>
      <c r="M303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0.10870830616449227</v>
      </c>
      <c r="N303" t="s">
        <v>96</v>
      </c>
      <c r="O303">
        <v>1</v>
      </c>
      <c r="P303">
        <v>5</v>
      </c>
      <c r="Q303">
        <v>1</v>
      </c>
      <c r="R303" t="s">
        <v>344</v>
      </c>
      <c r="S303">
        <v>250</v>
      </c>
      <c r="T303">
        <v>86</v>
      </c>
      <c r="U303">
        <v>77</v>
      </c>
      <c r="V303">
        <v>9</v>
      </c>
      <c r="W303">
        <v>-18</v>
      </c>
    </row>
    <row r="304" spans="1:23" x14ac:dyDescent="0.3">
      <c r="A304">
        <v>148807910</v>
      </c>
      <c r="B304" t="s">
        <v>341</v>
      </c>
      <c r="C304" t="s">
        <v>174</v>
      </c>
      <c r="D304" t="s">
        <v>74</v>
      </c>
      <c r="E304">
        <v>280</v>
      </c>
      <c r="F304" t="s">
        <v>352</v>
      </c>
      <c r="G304" t="s">
        <v>179</v>
      </c>
      <c r="H304" t="s">
        <v>235</v>
      </c>
      <c r="I304" s="1">
        <v>185990</v>
      </c>
      <c r="J304">
        <v>3</v>
      </c>
      <c r="K304" s="7">
        <f>Таблица1[[#This Row],[Штуки]]/SUMIFS(Таблица1[Штуки],Таблица1[Ветка],Таблица1[[#This Row],[Ветка]],Таблица1[Месяц],Таблица1[[#This Row],[Месяц]])</f>
        <v>4.0540540540540543E-2</v>
      </c>
      <c r="L304" s="1">
        <v>547959</v>
      </c>
      <c r="M304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4.3467255284839711E-2</v>
      </c>
      <c r="N304" t="s">
        <v>57</v>
      </c>
      <c r="O304">
        <v>2</v>
      </c>
      <c r="P304">
        <v>5</v>
      </c>
      <c r="Q304">
        <v>1</v>
      </c>
      <c r="R304" t="s">
        <v>342</v>
      </c>
      <c r="S304">
        <v>106.5</v>
      </c>
      <c r="T304">
        <v>89.6</v>
      </c>
      <c r="U304">
        <v>73.599999999999994</v>
      </c>
      <c r="V304">
        <v>3</v>
      </c>
      <c r="W304">
        <v>0</v>
      </c>
    </row>
    <row r="305" spans="1:23" x14ac:dyDescent="0.3">
      <c r="A305">
        <v>159848766</v>
      </c>
      <c r="B305" t="s">
        <v>341</v>
      </c>
      <c r="C305" t="s">
        <v>261</v>
      </c>
      <c r="D305" t="s">
        <v>30</v>
      </c>
      <c r="E305">
        <v>748</v>
      </c>
      <c r="F305" t="s">
        <v>357</v>
      </c>
      <c r="G305" t="s">
        <v>180</v>
      </c>
      <c r="H305" t="s">
        <v>235</v>
      </c>
      <c r="I305" s="1">
        <v>600400</v>
      </c>
      <c r="J305">
        <v>1</v>
      </c>
      <c r="K305" s="7">
        <f>Таблица1[[#This Row],[Штуки]]/SUMIFS(Таблица1[Штуки],Таблица1[Ветка],Таблица1[[#This Row],[Ветка]],Таблица1[Месяц],Таблица1[[#This Row],[Месяц]])</f>
        <v>7.874015748031496E-3</v>
      </c>
      <c r="L305" s="1">
        <v>540000</v>
      </c>
      <c r="M305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1.0707877134803687E-2</v>
      </c>
      <c r="N305" t="s">
        <v>96</v>
      </c>
      <c r="O305">
        <v>1</v>
      </c>
      <c r="P305">
        <v>5</v>
      </c>
      <c r="Q305">
        <v>1</v>
      </c>
      <c r="R305" t="s">
        <v>342</v>
      </c>
      <c r="S305">
        <v>103</v>
      </c>
      <c r="T305">
        <v>87</v>
      </c>
      <c r="U305">
        <v>45</v>
      </c>
      <c r="V305">
        <v>6</v>
      </c>
      <c r="W305">
        <v>-22</v>
      </c>
    </row>
    <row r="306" spans="1:23" x14ac:dyDescent="0.3">
      <c r="A306">
        <v>114880693</v>
      </c>
      <c r="B306" t="s">
        <v>341</v>
      </c>
      <c r="C306" t="s">
        <v>262</v>
      </c>
      <c r="D306" t="s">
        <v>46</v>
      </c>
      <c r="E306">
        <v>810</v>
      </c>
      <c r="F306" t="s">
        <v>358</v>
      </c>
      <c r="G306" t="s">
        <v>180</v>
      </c>
      <c r="H306" t="s">
        <v>235</v>
      </c>
      <c r="I306" s="1">
        <v>870000</v>
      </c>
      <c r="J306">
        <v>1</v>
      </c>
      <c r="K306" s="7">
        <f>Таблица1[[#This Row],[Штуки]]/SUMIFS(Таблица1[Штуки],Таблица1[Ветка],Таблица1[[#This Row],[Ветка]],Таблица1[Месяц],Таблица1[[#This Row],[Месяц]])</f>
        <v>3.5714285714285712E-2</v>
      </c>
      <c r="L306" s="1">
        <v>531042</v>
      </c>
      <c r="M306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3.9480234382527415E-2</v>
      </c>
      <c r="N306" t="s">
        <v>96</v>
      </c>
      <c r="O306">
        <v>1</v>
      </c>
      <c r="P306">
        <v>0</v>
      </c>
      <c r="Q306">
        <v>0</v>
      </c>
      <c r="R306" t="s">
        <v>345</v>
      </c>
      <c r="S306">
        <v>185.5</v>
      </c>
      <c r="T306">
        <v>81</v>
      </c>
      <c r="U306">
        <v>86.5</v>
      </c>
      <c r="V306">
        <v>0</v>
      </c>
      <c r="W306">
        <v>-24</v>
      </c>
    </row>
    <row r="307" spans="1:23" x14ac:dyDescent="0.3">
      <c r="A307">
        <v>140731818</v>
      </c>
      <c r="B307" t="s">
        <v>341</v>
      </c>
      <c r="C307" t="s">
        <v>263</v>
      </c>
      <c r="D307" t="s">
        <v>50</v>
      </c>
      <c r="E307">
        <v>780</v>
      </c>
      <c r="F307" t="s">
        <v>357</v>
      </c>
      <c r="G307" t="s">
        <v>180</v>
      </c>
      <c r="H307" t="s">
        <v>235</v>
      </c>
      <c r="I307" s="1">
        <v>589990</v>
      </c>
      <c r="J307">
        <v>1</v>
      </c>
      <c r="K307" s="7">
        <f>Таблица1[[#This Row],[Штуки]]/SUMIFS(Таблица1[Штуки],Таблица1[Ветка],Таблица1[[#This Row],[Ветка]],Таблица1[Месяц],Таблица1[[#This Row],[Месяц]])</f>
        <v>7.874015748031496E-3</v>
      </c>
      <c r="L307" s="1">
        <v>529990</v>
      </c>
      <c r="M307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1.0509384819767788E-2</v>
      </c>
      <c r="N307" t="s">
        <v>96</v>
      </c>
      <c r="O307">
        <v>1</v>
      </c>
      <c r="P307">
        <v>4.3</v>
      </c>
      <c r="Q307">
        <v>2</v>
      </c>
      <c r="R307" t="s">
        <v>344</v>
      </c>
      <c r="S307">
        <v>210</v>
      </c>
      <c r="T307">
        <v>85</v>
      </c>
      <c r="U307">
        <v>83</v>
      </c>
      <c r="V307">
        <v>0</v>
      </c>
      <c r="W307">
        <v>-18</v>
      </c>
    </row>
    <row r="308" spans="1:23" x14ac:dyDescent="0.3">
      <c r="A308">
        <v>117689613</v>
      </c>
      <c r="B308" t="s">
        <v>341</v>
      </c>
      <c r="C308" t="s">
        <v>163</v>
      </c>
      <c r="D308" t="s">
        <v>25</v>
      </c>
      <c r="E308">
        <v>320</v>
      </c>
      <c r="F308" t="s">
        <v>353</v>
      </c>
      <c r="G308" t="s">
        <v>179</v>
      </c>
      <c r="H308" t="s">
        <v>235</v>
      </c>
      <c r="I308" s="1">
        <v>236266</v>
      </c>
      <c r="J308">
        <v>2</v>
      </c>
      <c r="K308" s="7">
        <f>Таблица1[[#This Row],[Штуки]]/SUMIFS(Таблица1[Штуки],Таблица1[Ветка],Таблица1[[#This Row],[Ветка]],Таблица1[Месяц],Таблица1[[#This Row],[Месяц]])</f>
        <v>1.4492753623188406E-2</v>
      </c>
      <c r="L308" s="1">
        <v>508553</v>
      </c>
      <c r="M308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1.8086088776832817E-2</v>
      </c>
      <c r="N308" t="s">
        <v>57</v>
      </c>
      <c r="O308">
        <v>7</v>
      </c>
      <c r="P308">
        <v>4.8</v>
      </c>
      <c r="Q308">
        <v>15</v>
      </c>
      <c r="R308" t="s">
        <v>344</v>
      </c>
      <c r="S308">
        <v>108.5</v>
      </c>
      <c r="T308">
        <v>88.5</v>
      </c>
      <c r="U308">
        <v>66.5</v>
      </c>
      <c r="V308">
        <v>4</v>
      </c>
      <c r="W308">
        <v>-25</v>
      </c>
    </row>
    <row r="309" spans="1:23" x14ac:dyDescent="0.3">
      <c r="A309">
        <v>155690165</v>
      </c>
      <c r="B309" t="s">
        <v>341</v>
      </c>
      <c r="C309" t="s">
        <v>264</v>
      </c>
      <c r="D309" t="s">
        <v>115</v>
      </c>
      <c r="E309">
        <v>880</v>
      </c>
      <c r="F309" t="s">
        <v>358</v>
      </c>
      <c r="G309" t="s">
        <v>265</v>
      </c>
      <c r="H309" t="s">
        <v>235</v>
      </c>
      <c r="I309" s="1">
        <v>486780</v>
      </c>
      <c r="J309">
        <v>1</v>
      </c>
      <c r="K309" s="7">
        <f>Таблица1[[#This Row],[Штуки]]/SUMIFS(Таблица1[Штуки],Таблица1[Ветка],Таблица1[[#This Row],[Ветка]],Таблица1[Месяц],Таблица1[[#This Row],[Месяц]])</f>
        <v>3.5714285714285712E-2</v>
      </c>
      <c r="L309" s="1">
        <v>494805</v>
      </c>
      <c r="M309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3.6786200288576945E-2</v>
      </c>
      <c r="N309" t="s">
        <v>96</v>
      </c>
      <c r="O309">
        <v>1</v>
      </c>
      <c r="P309">
        <v>5</v>
      </c>
      <c r="Q309">
        <v>0</v>
      </c>
      <c r="R309" t="s">
        <v>342</v>
      </c>
      <c r="S309">
        <v>210</v>
      </c>
      <c r="T309">
        <v>87</v>
      </c>
      <c r="U309">
        <v>81</v>
      </c>
      <c r="V309">
        <v>0</v>
      </c>
      <c r="W309">
        <v>-26</v>
      </c>
    </row>
    <row r="310" spans="1:23" x14ac:dyDescent="0.3">
      <c r="A310">
        <v>121205888</v>
      </c>
      <c r="B310" t="s">
        <v>346</v>
      </c>
      <c r="C310" t="s">
        <v>129</v>
      </c>
      <c r="D310" t="s">
        <v>130</v>
      </c>
      <c r="E310">
        <v>800</v>
      </c>
      <c r="F310" t="s">
        <v>358</v>
      </c>
      <c r="G310" t="s">
        <v>185</v>
      </c>
      <c r="H310" t="s">
        <v>235</v>
      </c>
      <c r="I310" s="1">
        <v>391900</v>
      </c>
      <c r="J310">
        <v>1</v>
      </c>
      <c r="K310" s="7">
        <f>Таблица1[[#This Row],[Штуки]]/SUMIFS(Таблица1[Штуки],Таблица1[Ветка],Таблица1[[#This Row],[Ветка]],Таблица1[Месяц],Таблица1[[#This Row],[Месяц]])</f>
        <v>3.5714285714285712E-2</v>
      </c>
      <c r="L310" s="1">
        <v>460332</v>
      </c>
      <c r="M310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3.4223310498562469E-2</v>
      </c>
      <c r="N310" t="s">
        <v>57</v>
      </c>
      <c r="O310">
        <v>1</v>
      </c>
      <c r="P310">
        <v>5</v>
      </c>
      <c r="Q310">
        <v>2</v>
      </c>
      <c r="R310" t="s">
        <v>342</v>
      </c>
      <c r="S310">
        <v>60</v>
      </c>
      <c r="T310">
        <v>196</v>
      </c>
      <c r="U310">
        <v>76</v>
      </c>
      <c r="V310">
        <v>0</v>
      </c>
      <c r="W310">
        <v>-14</v>
      </c>
    </row>
    <row r="311" spans="1:23" x14ac:dyDescent="0.3">
      <c r="A311">
        <v>156863274</v>
      </c>
      <c r="B311" t="s">
        <v>343</v>
      </c>
      <c r="C311" t="s">
        <v>266</v>
      </c>
      <c r="D311" t="s">
        <v>91</v>
      </c>
      <c r="E311">
        <v>500</v>
      </c>
      <c r="F311" t="s">
        <v>355</v>
      </c>
      <c r="G311" t="s">
        <v>179</v>
      </c>
      <c r="H311" t="s">
        <v>235</v>
      </c>
      <c r="I311" s="1">
        <v>231990</v>
      </c>
      <c r="J311">
        <v>2</v>
      </c>
      <c r="K311" s="7">
        <f>Таблица1[[#This Row],[Штуки]]/SUMIFS(Таблица1[Штуки],Таблица1[Ветка],Таблица1[[#This Row],[Ветка]],Таблица1[Месяц],Таблица1[[#This Row],[Месяц]])</f>
        <v>1.1834319526627219E-2</v>
      </c>
      <c r="L311" s="1">
        <v>459980</v>
      </c>
      <c r="M311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9.4336319952833068E-3</v>
      </c>
      <c r="N311" t="s">
        <v>96</v>
      </c>
      <c r="O311">
        <v>3</v>
      </c>
      <c r="P311">
        <v>0</v>
      </c>
      <c r="Q311">
        <v>0</v>
      </c>
      <c r="R311" t="s">
        <v>342</v>
      </c>
      <c r="S311">
        <v>140</v>
      </c>
      <c r="T311">
        <v>71</v>
      </c>
      <c r="U311">
        <v>89</v>
      </c>
      <c r="V311">
        <v>0</v>
      </c>
      <c r="W311">
        <v>-18</v>
      </c>
    </row>
    <row r="312" spans="1:23" x14ac:dyDescent="0.3">
      <c r="A312">
        <v>113072746</v>
      </c>
      <c r="B312" t="s">
        <v>341</v>
      </c>
      <c r="C312" t="s">
        <v>192</v>
      </c>
      <c r="D312" t="s">
        <v>87</v>
      </c>
      <c r="E312">
        <v>700</v>
      </c>
      <c r="F312" t="s">
        <v>357</v>
      </c>
      <c r="G312" t="s">
        <v>188</v>
      </c>
      <c r="H312" t="s">
        <v>235</v>
      </c>
      <c r="I312" s="1">
        <v>459500</v>
      </c>
      <c r="J312">
        <v>1</v>
      </c>
      <c r="K312" s="7">
        <f>Таблица1[[#This Row],[Штуки]]/SUMIFS(Таблица1[Штуки],Таблица1[Ветка],Таблица1[[#This Row],[Ветка]],Таблица1[Месяц],Таблица1[[#This Row],[Месяц]])</f>
        <v>7.874015748031496E-3</v>
      </c>
      <c r="L312" s="1">
        <v>459500</v>
      </c>
      <c r="M312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9.1116102656338769E-3</v>
      </c>
      <c r="N312" t="s">
        <v>57</v>
      </c>
      <c r="O312">
        <v>2</v>
      </c>
      <c r="P312">
        <v>4.9000000000000004</v>
      </c>
      <c r="Q312">
        <v>45</v>
      </c>
      <c r="R312" t="s">
        <v>344</v>
      </c>
      <c r="S312">
        <v>180</v>
      </c>
      <c r="T312">
        <v>84</v>
      </c>
      <c r="U312">
        <v>60</v>
      </c>
      <c r="V312">
        <v>6</v>
      </c>
      <c r="W312">
        <v>-22</v>
      </c>
    </row>
    <row r="313" spans="1:23" x14ac:dyDescent="0.3">
      <c r="A313">
        <v>144491862</v>
      </c>
      <c r="B313" t="s">
        <v>341</v>
      </c>
      <c r="C313" t="s">
        <v>267</v>
      </c>
      <c r="D313" t="s">
        <v>41</v>
      </c>
      <c r="E313">
        <v>700</v>
      </c>
      <c r="F313" t="s">
        <v>357</v>
      </c>
      <c r="G313" t="s">
        <v>180</v>
      </c>
      <c r="H313" t="s">
        <v>235</v>
      </c>
      <c r="I313" s="1">
        <v>408600</v>
      </c>
      <c r="J313">
        <v>1</v>
      </c>
      <c r="K313" s="7">
        <f>Таблица1[[#This Row],[Штуки]]/SUMIFS(Таблица1[Штуки],Таблица1[Ветка],Таблица1[[#This Row],[Ветка]],Таблица1[Месяц],Таблица1[[#This Row],[Месяц]])</f>
        <v>7.874015748031496E-3</v>
      </c>
      <c r="L313" s="1">
        <v>454545</v>
      </c>
      <c r="M313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9.013355578221003E-3</v>
      </c>
      <c r="N313" t="s">
        <v>96</v>
      </c>
      <c r="O313">
        <v>2</v>
      </c>
      <c r="P313">
        <v>0</v>
      </c>
      <c r="Q313">
        <v>0</v>
      </c>
      <c r="R313" t="s">
        <v>344</v>
      </c>
      <c r="S313">
        <v>74</v>
      </c>
      <c r="T313">
        <v>87</v>
      </c>
      <c r="U313">
        <v>45</v>
      </c>
      <c r="V313">
        <v>0</v>
      </c>
      <c r="W313">
        <v>-18</v>
      </c>
    </row>
    <row r="314" spans="1:23" x14ac:dyDescent="0.3">
      <c r="A314">
        <v>153336154</v>
      </c>
      <c r="B314" t="s">
        <v>343</v>
      </c>
      <c r="C314" t="s">
        <v>170</v>
      </c>
      <c r="D314" t="s">
        <v>104</v>
      </c>
      <c r="E314">
        <v>550</v>
      </c>
      <c r="F314" t="s">
        <v>355</v>
      </c>
      <c r="G314" t="s">
        <v>179</v>
      </c>
      <c r="H314" t="s">
        <v>235</v>
      </c>
      <c r="I314" s="1">
        <v>249990</v>
      </c>
      <c r="J314">
        <v>2</v>
      </c>
      <c r="K314" s="7">
        <f>Таблица1[[#This Row],[Штуки]]/SUMIFS(Таблица1[Штуки],Таблица1[Ветка],Таблица1[[#This Row],[Ветка]],Таблица1[Месяц],Таблица1[[#This Row],[Месяц]])</f>
        <v>1.1834319526627219E-2</v>
      </c>
      <c r="L314" s="1">
        <v>442171</v>
      </c>
      <c r="M314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9.0683910017531535E-3</v>
      </c>
      <c r="N314" t="s">
        <v>57</v>
      </c>
      <c r="O314">
        <v>1</v>
      </c>
      <c r="P314">
        <v>5</v>
      </c>
      <c r="Q314">
        <v>2</v>
      </c>
      <c r="R314" t="s">
        <v>342</v>
      </c>
      <c r="S314">
        <v>153.5</v>
      </c>
      <c r="T314">
        <v>82.5</v>
      </c>
      <c r="U314">
        <v>74</v>
      </c>
      <c r="V314">
        <v>0</v>
      </c>
      <c r="W314">
        <v>-18</v>
      </c>
    </row>
    <row r="315" spans="1:23" x14ac:dyDescent="0.3">
      <c r="A315">
        <v>155757762</v>
      </c>
      <c r="B315" t="s">
        <v>341</v>
      </c>
      <c r="C315" t="s">
        <v>268</v>
      </c>
      <c r="D315" t="s">
        <v>133</v>
      </c>
      <c r="E315">
        <v>326</v>
      </c>
      <c r="F315" t="s">
        <v>353</v>
      </c>
      <c r="G315" t="s">
        <v>179</v>
      </c>
      <c r="H315" t="s">
        <v>235</v>
      </c>
      <c r="I315" s="1">
        <v>219000</v>
      </c>
      <c r="J315">
        <v>2</v>
      </c>
      <c r="K315" s="7">
        <f>Таблица1[[#This Row],[Штуки]]/SUMIFS(Таблица1[Штуки],Таблица1[Ветка],Таблица1[[#This Row],[Ветка]],Таблица1[Месяц],Таблица1[[#This Row],[Месяц]])</f>
        <v>1.4492753623188406E-2</v>
      </c>
      <c r="L315" s="1">
        <v>440774</v>
      </c>
      <c r="M315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1.567560843121505E-2</v>
      </c>
      <c r="N315" t="s">
        <v>96</v>
      </c>
      <c r="O315">
        <v>1</v>
      </c>
      <c r="P315">
        <v>0</v>
      </c>
      <c r="Q315">
        <v>0</v>
      </c>
      <c r="R315" t="s">
        <v>342</v>
      </c>
      <c r="S315">
        <v>125</v>
      </c>
      <c r="T315">
        <v>90</v>
      </c>
      <c r="U315">
        <v>60</v>
      </c>
      <c r="V315">
        <v>3</v>
      </c>
      <c r="W315">
        <v>-18</v>
      </c>
    </row>
    <row r="316" spans="1:23" x14ac:dyDescent="0.3">
      <c r="A316">
        <v>155437333</v>
      </c>
      <c r="B316" t="s">
        <v>341</v>
      </c>
      <c r="C316" t="s">
        <v>217</v>
      </c>
      <c r="D316" t="s">
        <v>84</v>
      </c>
      <c r="E316">
        <v>800</v>
      </c>
      <c r="F316" t="s">
        <v>358</v>
      </c>
      <c r="G316" t="s">
        <v>218</v>
      </c>
      <c r="H316" t="s">
        <v>235</v>
      </c>
      <c r="I316" s="1">
        <v>420000</v>
      </c>
      <c r="J316">
        <v>1</v>
      </c>
      <c r="K316" s="7">
        <f>Таблица1[[#This Row],[Штуки]]/SUMIFS(Таблица1[Штуки],Таблица1[Ветка],Таблица1[[#This Row],[Ветка]],Таблица1[Месяц],Таблица1[[#This Row],[Месяц]])</f>
        <v>3.5714285714285712E-2</v>
      </c>
      <c r="L316" s="1">
        <v>420000</v>
      </c>
      <c r="M316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3.1224834270474868E-2</v>
      </c>
      <c r="N316" t="s">
        <v>57</v>
      </c>
      <c r="O316">
        <v>1</v>
      </c>
      <c r="P316">
        <v>0</v>
      </c>
      <c r="Q316">
        <v>0</v>
      </c>
      <c r="R316" t="s">
        <v>342</v>
      </c>
      <c r="S316">
        <v>200</v>
      </c>
      <c r="T316">
        <v>85</v>
      </c>
      <c r="U316">
        <v>80</v>
      </c>
      <c r="V316">
        <v>6</v>
      </c>
      <c r="W316">
        <v>-26</v>
      </c>
    </row>
    <row r="317" spans="1:23" x14ac:dyDescent="0.3">
      <c r="A317">
        <v>100843154</v>
      </c>
      <c r="B317" t="s">
        <v>343</v>
      </c>
      <c r="C317" t="s">
        <v>269</v>
      </c>
      <c r="D317" t="s">
        <v>87</v>
      </c>
      <c r="E317">
        <v>600</v>
      </c>
      <c r="F317" t="s">
        <v>356</v>
      </c>
      <c r="G317" t="s">
        <v>179</v>
      </c>
      <c r="H317" t="s">
        <v>235</v>
      </c>
      <c r="I317" s="1">
        <v>440000</v>
      </c>
      <c r="J317">
        <v>1</v>
      </c>
      <c r="K317" s="7">
        <f>Таблица1[[#This Row],[Штуки]]/SUMIFS(Таблица1[Штуки],Таблица1[Ветка],Таблица1[[#This Row],[Ветка]],Таблица1[Месяц],Таблица1[[#This Row],[Месяц]])</f>
        <v>1.1363636363636364E-2</v>
      </c>
      <c r="L317" s="1">
        <v>417000</v>
      </c>
      <c r="M317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1.5874724138599208E-2</v>
      </c>
      <c r="N317" t="s">
        <v>96</v>
      </c>
      <c r="O317">
        <v>1</v>
      </c>
      <c r="P317">
        <v>4.4000000000000004</v>
      </c>
      <c r="Q317">
        <v>4</v>
      </c>
      <c r="R317" t="s">
        <v>345</v>
      </c>
      <c r="S317">
        <v>160</v>
      </c>
      <c r="T317">
        <v>82</v>
      </c>
      <c r="U317">
        <v>60</v>
      </c>
      <c r="V317">
        <v>0</v>
      </c>
      <c r="W317">
        <v>0</v>
      </c>
    </row>
    <row r="318" spans="1:23" x14ac:dyDescent="0.3">
      <c r="A318">
        <v>113187256</v>
      </c>
      <c r="B318" t="s">
        <v>341</v>
      </c>
      <c r="C318" t="s">
        <v>139</v>
      </c>
      <c r="D318" t="s">
        <v>87</v>
      </c>
      <c r="E318">
        <v>500</v>
      </c>
      <c r="F318" t="s">
        <v>355</v>
      </c>
      <c r="G318" t="s">
        <v>270</v>
      </c>
      <c r="H318" t="s">
        <v>235</v>
      </c>
      <c r="I318" s="1">
        <v>395000</v>
      </c>
      <c r="J318">
        <v>1</v>
      </c>
      <c r="K318" s="7">
        <f>Таблица1[[#This Row],[Штуки]]/SUMIFS(Таблица1[Штуки],Таблица1[Ветка],Таблица1[[#This Row],[Ветка]],Таблица1[Месяц],Таблица1[[#This Row],[Месяц]])</f>
        <v>5.9171597633136093E-3</v>
      </c>
      <c r="L318" s="1">
        <v>395000</v>
      </c>
      <c r="M318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8.100970994688695E-3</v>
      </c>
      <c r="N318" t="s">
        <v>96</v>
      </c>
      <c r="O318">
        <v>1</v>
      </c>
      <c r="P318">
        <v>4.3</v>
      </c>
      <c r="Q318">
        <v>4</v>
      </c>
      <c r="R318" t="s">
        <v>344</v>
      </c>
      <c r="S318">
        <v>140</v>
      </c>
      <c r="T318">
        <v>84</v>
      </c>
      <c r="U318">
        <v>60</v>
      </c>
      <c r="V318">
        <v>5</v>
      </c>
      <c r="W318">
        <v>-22</v>
      </c>
    </row>
    <row r="319" spans="1:23" x14ac:dyDescent="0.3">
      <c r="A319">
        <v>155336923</v>
      </c>
      <c r="B319" t="s">
        <v>341</v>
      </c>
      <c r="C319" t="s">
        <v>271</v>
      </c>
      <c r="D319" t="s">
        <v>115</v>
      </c>
      <c r="E319">
        <v>900</v>
      </c>
      <c r="F319" t="s">
        <v>359</v>
      </c>
      <c r="G319" t="s">
        <v>183</v>
      </c>
      <c r="H319" t="s">
        <v>235</v>
      </c>
      <c r="I319" s="1">
        <v>450000</v>
      </c>
      <c r="J319">
        <v>1</v>
      </c>
      <c r="K319" s="7">
        <f>Таблица1[[#This Row],[Штуки]]/SUMIFS(Таблица1[Штуки],Таблица1[Ветка],Таблица1[[#This Row],[Ветка]],Таблица1[Месяц],Таблица1[[#This Row],[Месяц]])</f>
        <v>0.25</v>
      </c>
      <c r="L319" s="1">
        <v>393368</v>
      </c>
      <c r="M319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0.1779374047251788</v>
      </c>
      <c r="N319" t="s">
        <v>96</v>
      </c>
      <c r="O319">
        <v>1</v>
      </c>
      <c r="P319">
        <v>0</v>
      </c>
      <c r="Q319">
        <v>0</v>
      </c>
      <c r="R319" t="s">
        <v>342</v>
      </c>
      <c r="S319">
        <v>200</v>
      </c>
      <c r="T319">
        <v>85</v>
      </c>
      <c r="U319">
        <v>88</v>
      </c>
      <c r="V319">
        <v>7</v>
      </c>
      <c r="W319">
        <v>-26</v>
      </c>
    </row>
    <row r="320" spans="1:23" x14ac:dyDescent="0.3">
      <c r="A320">
        <v>142298659</v>
      </c>
      <c r="B320" t="s">
        <v>341</v>
      </c>
      <c r="C320" t="s">
        <v>227</v>
      </c>
      <c r="D320" t="s">
        <v>115</v>
      </c>
      <c r="E320">
        <v>700</v>
      </c>
      <c r="F320" t="s">
        <v>357</v>
      </c>
      <c r="G320" t="s">
        <v>180</v>
      </c>
      <c r="H320" t="s">
        <v>235</v>
      </c>
      <c r="I320" s="1">
        <v>385000</v>
      </c>
      <c r="J320">
        <v>1</v>
      </c>
      <c r="K320" s="7">
        <f>Таблица1[[#This Row],[Штуки]]/SUMIFS(Таблица1[Штуки],Таблица1[Ветка],Таблица1[[#This Row],[Ветка]],Таблица1[Месяц],Таблица1[[#This Row],[Месяц]])</f>
        <v>7.874015748031496E-3</v>
      </c>
      <c r="L320" s="1">
        <v>392850</v>
      </c>
      <c r="M320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7.7899806155696813E-3</v>
      </c>
      <c r="N320" t="s">
        <v>96</v>
      </c>
      <c r="O320">
        <v>2</v>
      </c>
      <c r="P320">
        <v>5</v>
      </c>
      <c r="Q320">
        <v>0</v>
      </c>
      <c r="R320" t="s">
        <v>342</v>
      </c>
      <c r="S320">
        <v>200</v>
      </c>
      <c r="T320">
        <v>80</v>
      </c>
      <c r="U320">
        <v>76</v>
      </c>
      <c r="V320">
        <v>7</v>
      </c>
      <c r="W320">
        <v>-24</v>
      </c>
    </row>
    <row r="321" spans="1:23" x14ac:dyDescent="0.3">
      <c r="A321">
        <v>140330902</v>
      </c>
      <c r="B321" t="s">
        <v>341</v>
      </c>
      <c r="C321" t="s">
        <v>272</v>
      </c>
      <c r="D321" t="s">
        <v>91</v>
      </c>
      <c r="E321">
        <v>330</v>
      </c>
      <c r="F321" t="s">
        <v>353</v>
      </c>
      <c r="G321" t="s">
        <v>179</v>
      </c>
      <c r="H321" t="s">
        <v>235</v>
      </c>
      <c r="I321" s="1">
        <v>201980</v>
      </c>
      <c r="J321">
        <v>2</v>
      </c>
      <c r="K321" s="7">
        <f>Таблица1[[#This Row],[Штуки]]/SUMIFS(Таблица1[Штуки],Таблица1[Ветка],Таблица1[[#This Row],[Ветка]],Таблица1[Месяц],Таблица1[[#This Row],[Месяц]])</f>
        <v>1.4492753623188406E-2</v>
      </c>
      <c r="L321" s="1">
        <v>385980</v>
      </c>
      <c r="M321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1.3726924324666122E-2</v>
      </c>
      <c r="N321" t="s">
        <v>96</v>
      </c>
      <c r="O321">
        <v>4</v>
      </c>
      <c r="P321">
        <v>4.8</v>
      </c>
      <c r="Q321">
        <v>2</v>
      </c>
      <c r="R321" t="s">
        <v>342</v>
      </c>
      <c r="S321">
        <v>122.4</v>
      </c>
      <c r="T321">
        <v>82</v>
      </c>
      <c r="U321">
        <v>65.400000000000006</v>
      </c>
      <c r="V321">
        <v>6</v>
      </c>
      <c r="W321">
        <v>0</v>
      </c>
    </row>
    <row r="322" spans="1:23" x14ac:dyDescent="0.3">
      <c r="A322">
        <v>141408862</v>
      </c>
      <c r="B322" t="s">
        <v>341</v>
      </c>
      <c r="C322" t="s">
        <v>59</v>
      </c>
      <c r="D322" t="s">
        <v>52</v>
      </c>
      <c r="E322">
        <v>600</v>
      </c>
      <c r="F322" t="s">
        <v>356</v>
      </c>
      <c r="G322" t="s">
        <v>177</v>
      </c>
      <c r="H322" t="s">
        <v>235</v>
      </c>
      <c r="I322" s="1">
        <v>371000</v>
      </c>
      <c r="J322">
        <v>1</v>
      </c>
      <c r="K322" s="7">
        <f>Таблица1[[#This Row],[Штуки]]/SUMIFS(Таблица1[Штуки],Таблица1[Ветка],Таблица1[[#This Row],[Ветка]],Таблица1[Месяц],Таблица1[[#This Row],[Месяц]])</f>
        <v>1.1363636363636364E-2</v>
      </c>
      <c r="L322" s="1">
        <v>370900</v>
      </c>
      <c r="M322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1.4119748640303229E-2</v>
      </c>
      <c r="N322" t="s">
        <v>23</v>
      </c>
      <c r="O322">
        <v>4</v>
      </c>
      <c r="P322">
        <v>5</v>
      </c>
      <c r="Q322">
        <v>5</v>
      </c>
      <c r="R322" t="s">
        <v>344</v>
      </c>
      <c r="S322">
        <v>165</v>
      </c>
      <c r="T322">
        <v>86</v>
      </c>
      <c r="U322">
        <v>76</v>
      </c>
      <c r="V322">
        <v>5</v>
      </c>
      <c r="W322">
        <v>-18</v>
      </c>
    </row>
    <row r="323" spans="1:23" x14ac:dyDescent="0.3">
      <c r="A323">
        <v>129482952</v>
      </c>
      <c r="B323" t="s">
        <v>341</v>
      </c>
      <c r="C323" t="s">
        <v>273</v>
      </c>
      <c r="D323" t="s">
        <v>274</v>
      </c>
      <c r="E323">
        <v>551</v>
      </c>
      <c r="F323" t="s">
        <v>355</v>
      </c>
      <c r="G323" t="s">
        <v>179</v>
      </c>
      <c r="H323" t="s">
        <v>235</v>
      </c>
      <c r="I323" s="1">
        <v>349990</v>
      </c>
      <c r="J323">
        <v>1</v>
      </c>
      <c r="K323" s="7">
        <f>Таблица1[[#This Row],[Штуки]]/SUMIFS(Таблица1[Штуки],Таблица1[Ветка],Таблица1[[#This Row],[Ветка]],Таблица1[Месяц],Таблица1[[#This Row],[Месяц]])</f>
        <v>5.9171597633136093E-3</v>
      </c>
      <c r="L323" s="1">
        <v>350000</v>
      </c>
      <c r="M323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7.1780755649140339E-3</v>
      </c>
      <c r="N323" t="s">
        <v>96</v>
      </c>
      <c r="O323">
        <v>1</v>
      </c>
      <c r="P323">
        <v>5</v>
      </c>
      <c r="Q323">
        <v>0</v>
      </c>
      <c r="R323" t="s">
        <v>342</v>
      </c>
      <c r="S323">
        <v>153</v>
      </c>
      <c r="T323">
        <v>90</v>
      </c>
      <c r="U323">
        <v>72</v>
      </c>
      <c r="V323">
        <v>6</v>
      </c>
      <c r="W323">
        <v>-23</v>
      </c>
    </row>
    <row r="324" spans="1:23" x14ac:dyDescent="0.3">
      <c r="A324">
        <v>143231818</v>
      </c>
      <c r="B324" t="s">
        <v>343</v>
      </c>
      <c r="C324" t="s">
        <v>275</v>
      </c>
      <c r="D324" t="s">
        <v>276</v>
      </c>
      <c r="E324">
        <v>508</v>
      </c>
      <c r="F324" t="s">
        <v>355</v>
      </c>
      <c r="G324" t="s">
        <v>179</v>
      </c>
      <c r="H324" t="s">
        <v>235</v>
      </c>
      <c r="I324" s="1">
        <v>349990</v>
      </c>
      <c r="J324">
        <v>1</v>
      </c>
      <c r="K324" s="7">
        <f>Таблица1[[#This Row],[Штуки]]/SUMIFS(Таблица1[Штуки],Таблица1[Ветка],Таблица1[[#This Row],[Ветка]],Таблица1[Месяц],Таблица1[[#This Row],[Месяц]])</f>
        <v>5.9171597633136093E-3</v>
      </c>
      <c r="L324" s="1">
        <v>349990</v>
      </c>
      <c r="M324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7.1778704770407509E-3</v>
      </c>
      <c r="N324" t="s">
        <v>96</v>
      </c>
      <c r="O324">
        <v>1</v>
      </c>
      <c r="P324">
        <v>5</v>
      </c>
      <c r="Q324">
        <v>25</v>
      </c>
      <c r="R324" t="s">
        <v>344</v>
      </c>
      <c r="S324">
        <v>164</v>
      </c>
      <c r="T324">
        <v>88</v>
      </c>
      <c r="U324">
        <v>70.5</v>
      </c>
      <c r="V324">
        <v>1</v>
      </c>
      <c r="W324">
        <v>-22</v>
      </c>
    </row>
    <row r="325" spans="1:23" x14ac:dyDescent="0.3">
      <c r="A325">
        <v>114858756</v>
      </c>
      <c r="B325" t="s">
        <v>346</v>
      </c>
      <c r="C325" t="s">
        <v>112</v>
      </c>
      <c r="D325" t="s">
        <v>46</v>
      </c>
      <c r="E325">
        <v>90</v>
      </c>
      <c r="F325" t="s">
        <v>350</v>
      </c>
      <c r="G325" t="s">
        <v>179</v>
      </c>
      <c r="H325" t="s">
        <v>235</v>
      </c>
      <c r="I325" s="1">
        <v>339990</v>
      </c>
      <c r="J325">
        <v>2</v>
      </c>
      <c r="K325" s="7">
        <f>Таблица1[[#This Row],[Штуки]]/SUMIFS(Таблица1[Штуки],Таблица1[Ветка],Таблица1[[#This Row],[Ветка]],Таблица1[Месяц],Таблица1[[#This Row],[Месяц]])</f>
        <v>1</v>
      </c>
      <c r="L325" s="1">
        <v>341505</v>
      </c>
      <c r="M325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1</v>
      </c>
      <c r="N325" t="s">
        <v>57</v>
      </c>
      <c r="O325">
        <v>2</v>
      </c>
      <c r="P325">
        <v>5</v>
      </c>
      <c r="Q325">
        <v>2</v>
      </c>
      <c r="R325" t="s">
        <v>344</v>
      </c>
      <c r="S325">
        <v>59.5</v>
      </c>
      <c r="T325">
        <v>82</v>
      </c>
      <c r="U325">
        <v>54.5</v>
      </c>
      <c r="V325">
        <v>0</v>
      </c>
      <c r="W325">
        <v>-24</v>
      </c>
    </row>
    <row r="326" spans="1:23" x14ac:dyDescent="0.3">
      <c r="A326">
        <v>141392200</v>
      </c>
      <c r="B326" t="s">
        <v>341</v>
      </c>
      <c r="C326" t="s">
        <v>277</v>
      </c>
      <c r="D326" t="s">
        <v>46</v>
      </c>
      <c r="E326">
        <v>500</v>
      </c>
      <c r="F326" t="s">
        <v>355</v>
      </c>
      <c r="G326" t="s">
        <v>179</v>
      </c>
      <c r="H326" t="s">
        <v>235</v>
      </c>
      <c r="I326" s="1">
        <v>329990</v>
      </c>
      <c r="J326">
        <v>1</v>
      </c>
      <c r="K326" s="7">
        <f>Таблица1[[#This Row],[Штуки]]/SUMIFS(Таблица1[Штуки],Таблица1[Ветка],Таблица1[[#This Row],[Ветка]],Таблица1[Месяц],Таблица1[[#This Row],[Месяц]])</f>
        <v>5.9171597633136093E-3</v>
      </c>
      <c r="L326" s="1">
        <v>329990</v>
      </c>
      <c r="M326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6.7676947304742344E-3</v>
      </c>
      <c r="N326" t="s">
        <v>96</v>
      </c>
      <c r="O326">
        <v>2</v>
      </c>
      <c r="P326">
        <v>0</v>
      </c>
      <c r="Q326">
        <v>0</v>
      </c>
      <c r="R326" t="s">
        <v>344</v>
      </c>
      <c r="S326">
        <v>155</v>
      </c>
      <c r="T326">
        <v>82</v>
      </c>
      <c r="U326">
        <v>65</v>
      </c>
      <c r="V326">
        <v>6</v>
      </c>
      <c r="W326">
        <v>-24</v>
      </c>
    </row>
    <row r="327" spans="1:23" x14ac:dyDescent="0.3">
      <c r="A327">
        <v>100620951</v>
      </c>
      <c r="B327" t="s">
        <v>341</v>
      </c>
      <c r="C327" t="s">
        <v>278</v>
      </c>
      <c r="D327" t="s">
        <v>93</v>
      </c>
      <c r="E327">
        <v>550</v>
      </c>
      <c r="F327" t="s">
        <v>355</v>
      </c>
      <c r="G327" t="s">
        <v>179</v>
      </c>
      <c r="H327" t="s">
        <v>235</v>
      </c>
      <c r="I327" s="1">
        <v>389900</v>
      </c>
      <c r="J327">
        <v>1</v>
      </c>
      <c r="K327" s="7">
        <f>Таблица1[[#This Row],[Штуки]]/SUMIFS(Таблица1[Штуки],Таблица1[Ветка],Таблица1[[#This Row],[Ветка]],Таблица1[Месяц],Таблица1[[#This Row],[Месяц]])</f>
        <v>5.9171597633136093E-3</v>
      </c>
      <c r="L327" s="1">
        <v>287310</v>
      </c>
      <c r="M327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5.8923796873012893E-3</v>
      </c>
      <c r="N327" t="s">
        <v>96</v>
      </c>
      <c r="O327">
        <v>2</v>
      </c>
      <c r="P327">
        <v>5</v>
      </c>
      <c r="Q327">
        <v>17</v>
      </c>
      <c r="R327" t="s">
        <v>344</v>
      </c>
      <c r="S327">
        <v>163.4</v>
      </c>
      <c r="T327">
        <v>90</v>
      </c>
      <c r="U327">
        <v>65.3</v>
      </c>
      <c r="V327">
        <v>5</v>
      </c>
      <c r="W327">
        <v>0</v>
      </c>
    </row>
    <row r="328" spans="1:23" x14ac:dyDescent="0.3">
      <c r="A328">
        <v>140081934</v>
      </c>
      <c r="B328" t="s">
        <v>341</v>
      </c>
      <c r="C328" t="s">
        <v>151</v>
      </c>
      <c r="D328" t="s">
        <v>91</v>
      </c>
      <c r="E328">
        <v>445</v>
      </c>
      <c r="F328" t="s">
        <v>354</v>
      </c>
      <c r="G328" t="s">
        <v>179</v>
      </c>
      <c r="H328" t="s">
        <v>235</v>
      </c>
      <c r="I328" s="1">
        <v>285990</v>
      </c>
      <c r="J328">
        <v>1</v>
      </c>
      <c r="K328" s="7">
        <f>Таблица1[[#This Row],[Штуки]]/SUMIFS(Таблица1[Штуки],Таблица1[Ветка],Таблица1[[#This Row],[Ветка]],Таблица1[Месяц],Таблица1[[#This Row],[Месяц]])</f>
        <v>0.05</v>
      </c>
      <c r="L328" s="1">
        <v>286990</v>
      </c>
      <c r="M328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5.9275063433756776E-2</v>
      </c>
      <c r="N328" t="s">
        <v>96</v>
      </c>
      <c r="O328">
        <v>4</v>
      </c>
      <c r="P328">
        <v>0</v>
      </c>
      <c r="Q328">
        <v>0</v>
      </c>
      <c r="R328" t="s">
        <v>344</v>
      </c>
      <c r="S328">
        <v>153</v>
      </c>
      <c r="T328">
        <v>85</v>
      </c>
      <c r="U328">
        <v>68</v>
      </c>
      <c r="V328">
        <v>5</v>
      </c>
      <c r="W328">
        <v>-18</v>
      </c>
    </row>
    <row r="329" spans="1:23" x14ac:dyDescent="0.3">
      <c r="A329">
        <v>142950129</v>
      </c>
      <c r="B329" t="s">
        <v>341</v>
      </c>
      <c r="C329" t="s">
        <v>279</v>
      </c>
      <c r="D329" t="s">
        <v>52</v>
      </c>
      <c r="E329">
        <v>435</v>
      </c>
      <c r="F329" t="s">
        <v>354</v>
      </c>
      <c r="G329" t="s">
        <v>177</v>
      </c>
      <c r="H329" t="s">
        <v>235</v>
      </c>
      <c r="I329" s="1">
        <v>279900</v>
      </c>
      <c r="J329">
        <v>1</v>
      </c>
      <c r="K329" s="7">
        <f>Таблица1[[#This Row],[Штуки]]/SUMIFS(Таблица1[Штуки],Таблица1[Ветка],Таблица1[[#This Row],[Ветка]],Таблица1[Месяц],Таблица1[[#This Row],[Месяц]])</f>
        <v>0.05</v>
      </c>
      <c r="L329" s="1">
        <v>279900</v>
      </c>
      <c r="M329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5.7810691156864429E-2</v>
      </c>
      <c r="N329" t="s">
        <v>96</v>
      </c>
      <c r="O329">
        <v>3</v>
      </c>
      <c r="P329">
        <v>0</v>
      </c>
      <c r="Q329">
        <v>0</v>
      </c>
      <c r="R329" t="s">
        <v>344</v>
      </c>
      <c r="S329">
        <v>134</v>
      </c>
      <c r="T329">
        <v>90</v>
      </c>
      <c r="U329">
        <v>72</v>
      </c>
      <c r="V329">
        <v>4</v>
      </c>
      <c r="W329">
        <v>-18</v>
      </c>
    </row>
    <row r="330" spans="1:23" x14ac:dyDescent="0.3">
      <c r="A330">
        <v>154651758</v>
      </c>
      <c r="B330" t="s">
        <v>343</v>
      </c>
      <c r="C330" t="s">
        <v>209</v>
      </c>
      <c r="D330" t="s">
        <v>38</v>
      </c>
      <c r="E330">
        <v>660</v>
      </c>
      <c r="F330" t="s">
        <v>356</v>
      </c>
      <c r="G330" t="s">
        <v>185</v>
      </c>
      <c r="H330" t="s">
        <v>235</v>
      </c>
      <c r="I330" s="1">
        <v>263990</v>
      </c>
      <c r="J330">
        <v>1</v>
      </c>
      <c r="K330" s="7">
        <f>Таблица1[[#This Row],[Штуки]]/SUMIFS(Таблица1[Штуки],Таблица1[Ветка],Таблица1[[#This Row],[Ветка]],Таблица1[Месяц],Таблица1[[#This Row],[Месяц]])</f>
        <v>1.1363636363636364E-2</v>
      </c>
      <c r="L330" s="1">
        <v>263990</v>
      </c>
      <c r="M330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1.0049804377335264E-2</v>
      </c>
      <c r="N330" t="s">
        <v>57</v>
      </c>
      <c r="O330">
        <v>1</v>
      </c>
      <c r="P330">
        <v>5</v>
      </c>
      <c r="Q330">
        <v>1</v>
      </c>
      <c r="R330" t="s">
        <v>344</v>
      </c>
      <c r="S330">
        <v>180</v>
      </c>
      <c r="T330">
        <v>84</v>
      </c>
      <c r="U330">
        <v>67.400000000000006</v>
      </c>
      <c r="V330">
        <v>2</v>
      </c>
      <c r="W330">
        <v>-24</v>
      </c>
    </row>
    <row r="331" spans="1:23" x14ac:dyDescent="0.3">
      <c r="A331">
        <v>148807907</v>
      </c>
      <c r="B331" t="s">
        <v>343</v>
      </c>
      <c r="C331" t="s">
        <v>280</v>
      </c>
      <c r="D331" t="s">
        <v>74</v>
      </c>
      <c r="E331">
        <v>600</v>
      </c>
      <c r="F331" t="s">
        <v>356</v>
      </c>
      <c r="G331" t="s">
        <v>179</v>
      </c>
      <c r="H331" t="s">
        <v>235</v>
      </c>
      <c r="I331" s="1">
        <v>257979</v>
      </c>
      <c r="J331">
        <v>1</v>
      </c>
      <c r="K331" s="7">
        <f>Таблица1[[#This Row],[Штуки]]/SUMIFS(Таблица1[Штуки],Таблица1[Ветка],Таблица1[[#This Row],[Ветка]],Таблица1[Месяц],Таблица1[[#This Row],[Месяц]])</f>
        <v>1.1363636363636364E-2</v>
      </c>
      <c r="L331" s="1">
        <v>254989</v>
      </c>
      <c r="M331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9.7071463630150449E-3</v>
      </c>
      <c r="N331" t="s">
        <v>96</v>
      </c>
      <c r="O331">
        <v>2</v>
      </c>
      <c r="P331">
        <v>4.5</v>
      </c>
      <c r="Q331">
        <v>2</v>
      </c>
      <c r="R331" t="s">
        <v>342</v>
      </c>
      <c r="S331">
        <v>170.3</v>
      </c>
      <c r="T331">
        <v>88.5</v>
      </c>
      <c r="U331">
        <v>76</v>
      </c>
      <c r="V331">
        <v>0</v>
      </c>
      <c r="W331">
        <v>-17</v>
      </c>
    </row>
    <row r="332" spans="1:23" x14ac:dyDescent="0.3">
      <c r="A332">
        <v>135246793</v>
      </c>
      <c r="B332" t="s">
        <v>341</v>
      </c>
      <c r="C332" t="s">
        <v>281</v>
      </c>
      <c r="D332" t="s">
        <v>52</v>
      </c>
      <c r="E332">
        <v>365</v>
      </c>
      <c r="F332" t="s">
        <v>353</v>
      </c>
      <c r="G332" t="s">
        <v>180</v>
      </c>
      <c r="H332" t="s">
        <v>235</v>
      </c>
      <c r="I332" s="1">
        <v>217800</v>
      </c>
      <c r="J332">
        <v>1</v>
      </c>
      <c r="K332" s="7">
        <f>Таблица1[[#This Row],[Штуки]]/SUMIFS(Таблица1[Штуки],Таблица1[Ветка],Таблица1[[#This Row],[Ветка]],Таблица1[Месяц],Таблица1[[#This Row],[Месяц]])</f>
        <v>7.246376811594203E-3</v>
      </c>
      <c r="L332" s="1">
        <v>217800</v>
      </c>
      <c r="M332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7.7458006060217664E-3</v>
      </c>
      <c r="N332" t="s">
        <v>96</v>
      </c>
      <c r="O332">
        <v>4</v>
      </c>
      <c r="P332">
        <v>0</v>
      </c>
      <c r="Q332">
        <v>0</v>
      </c>
      <c r="R332" t="s">
        <v>344</v>
      </c>
      <c r="S332">
        <v>128</v>
      </c>
      <c r="T332">
        <v>91</v>
      </c>
      <c r="U332">
        <v>65</v>
      </c>
      <c r="V332">
        <v>3</v>
      </c>
      <c r="W332">
        <v>-20</v>
      </c>
    </row>
    <row r="333" spans="1:23" x14ac:dyDescent="0.3">
      <c r="A333">
        <v>129607134</v>
      </c>
      <c r="B333" t="s">
        <v>341</v>
      </c>
      <c r="C333" t="s">
        <v>230</v>
      </c>
      <c r="D333" t="s">
        <v>52</v>
      </c>
      <c r="E333">
        <v>246</v>
      </c>
      <c r="F333" t="s">
        <v>352</v>
      </c>
      <c r="G333" t="s">
        <v>180</v>
      </c>
      <c r="H333" t="s">
        <v>235</v>
      </c>
      <c r="I333" s="1">
        <v>183200</v>
      </c>
      <c r="J333">
        <v>1</v>
      </c>
      <c r="K333" s="7">
        <f>Таблица1[[#This Row],[Штуки]]/SUMIFS(Таблица1[Штуки],Таблица1[Ветка],Таблица1[[#This Row],[Ветка]],Таблица1[Месяц],Таблица1[[#This Row],[Месяц]])</f>
        <v>1.3513513513513514E-2</v>
      </c>
      <c r="L333" s="1">
        <v>211489</v>
      </c>
      <c r="M333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1.67765222451597E-2</v>
      </c>
      <c r="N333" t="s">
        <v>96</v>
      </c>
      <c r="O333">
        <v>5</v>
      </c>
      <c r="P333">
        <v>5</v>
      </c>
      <c r="Q333">
        <v>1</v>
      </c>
      <c r="R333" t="s">
        <v>344</v>
      </c>
      <c r="S333">
        <v>103.3</v>
      </c>
      <c r="T333">
        <v>91</v>
      </c>
      <c r="U333">
        <v>62</v>
      </c>
      <c r="V333">
        <v>3</v>
      </c>
      <c r="W333">
        <v>-36</v>
      </c>
    </row>
    <row r="334" spans="1:23" x14ac:dyDescent="0.3">
      <c r="A334">
        <v>121279939</v>
      </c>
      <c r="B334" t="s">
        <v>341</v>
      </c>
      <c r="C334" t="s">
        <v>168</v>
      </c>
      <c r="D334" t="s">
        <v>35</v>
      </c>
      <c r="E334">
        <v>122</v>
      </c>
      <c r="F334" t="s">
        <v>351</v>
      </c>
      <c r="G334" t="s">
        <v>179</v>
      </c>
      <c r="H334" t="s">
        <v>235</v>
      </c>
      <c r="I334" s="1">
        <v>99300</v>
      </c>
      <c r="J334">
        <v>2</v>
      </c>
      <c r="K334" s="7">
        <f>Таблица1[[#This Row],[Штуки]]/SUMIFS(Таблица1[Штуки],Таблица1[Ветка],Таблица1[[#This Row],[Ветка]],Таблица1[Месяц],Таблица1[[#This Row],[Месяц]])</f>
        <v>2.7027027027027029E-2</v>
      </c>
      <c r="L334" s="1">
        <v>190928</v>
      </c>
      <c r="M334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6.828846037398347E-3</v>
      </c>
      <c r="N334" t="s">
        <v>96</v>
      </c>
      <c r="O334">
        <v>2</v>
      </c>
      <c r="P334">
        <v>5</v>
      </c>
      <c r="Q334">
        <v>1</v>
      </c>
      <c r="R334" t="s">
        <v>344</v>
      </c>
      <c r="S334">
        <v>66</v>
      </c>
      <c r="T334">
        <v>81</v>
      </c>
      <c r="U334">
        <v>48</v>
      </c>
      <c r="V334">
        <v>2</v>
      </c>
      <c r="W334">
        <v>-18</v>
      </c>
    </row>
    <row r="335" spans="1:23" x14ac:dyDescent="0.3">
      <c r="A335">
        <v>117729101</v>
      </c>
      <c r="B335" t="s">
        <v>341</v>
      </c>
      <c r="C335" t="s">
        <v>172</v>
      </c>
      <c r="D335" t="s">
        <v>93</v>
      </c>
      <c r="E335">
        <v>380</v>
      </c>
      <c r="F335" t="s">
        <v>353</v>
      </c>
      <c r="G335" t="s">
        <v>180</v>
      </c>
      <c r="H335" t="s">
        <v>235</v>
      </c>
      <c r="I335" s="1">
        <v>189990</v>
      </c>
      <c r="J335">
        <v>1</v>
      </c>
      <c r="K335" s="7">
        <f>Таблица1[[#This Row],[Штуки]]/SUMIFS(Таблица1[Штуки],Таблица1[Ветка],Таблица1[[#This Row],[Ветка]],Таблица1[Месяц],Таблица1[[#This Row],[Месяц]])</f>
        <v>7.246376811594203E-3</v>
      </c>
      <c r="L335" s="1">
        <v>189989</v>
      </c>
      <c r="M335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6.756735130107756E-3</v>
      </c>
      <c r="N335" t="s">
        <v>96</v>
      </c>
      <c r="O335">
        <v>1</v>
      </c>
      <c r="P335">
        <v>4.8</v>
      </c>
      <c r="Q335">
        <v>16</v>
      </c>
      <c r="R335" t="s">
        <v>342</v>
      </c>
      <c r="S335">
        <v>122</v>
      </c>
      <c r="T335">
        <v>90</v>
      </c>
      <c r="U335">
        <v>70</v>
      </c>
      <c r="V335">
        <v>4</v>
      </c>
      <c r="W335">
        <v>-18</v>
      </c>
    </row>
    <row r="336" spans="1:23" x14ac:dyDescent="0.3">
      <c r="A336">
        <v>117232021</v>
      </c>
      <c r="B336" t="s">
        <v>341</v>
      </c>
      <c r="C336" t="s">
        <v>60</v>
      </c>
      <c r="D336" t="s">
        <v>25</v>
      </c>
      <c r="E336">
        <v>230</v>
      </c>
      <c r="F336" t="s">
        <v>352</v>
      </c>
      <c r="G336" t="s">
        <v>179</v>
      </c>
      <c r="H336" t="s">
        <v>235</v>
      </c>
      <c r="I336" s="1">
        <v>199650</v>
      </c>
      <c r="J336">
        <v>1</v>
      </c>
      <c r="K336" s="7">
        <f>Таблица1[[#This Row],[Штуки]]/SUMIFS(Таблица1[Штуки],Таблица1[Ветка],Таблица1[[#This Row],[Ветка]],Таблица1[Месяц],Таблица1[[#This Row],[Месяц]])</f>
        <v>1.3513513513513514E-2</v>
      </c>
      <c r="L336" s="1">
        <v>189402</v>
      </c>
      <c r="M336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1.5024454540320007E-2</v>
      </c>
      <c r="N336" t="s">
        <v>57</v>
      </c>
      <c r="O336">
        <v>10</v>
      </c>
      <c r="P336">
        <v>5</v>
      </c>
      <c r="Q336">
        <v>18</v>
      </c>
      <c r="R336" t="s">
        <v>344</v>
      </c>
      <c r="S336">
        <v>88</v>
      </c>
      <c r="T336">
        <v>88.5</v>
      </c>
      <c r="U336">
        <v>66.5</v>
      </c>
      <c r="V336">
        <v>3</v>
      </c>
      <c r="W336">
        <v>-25</v>
      </c>
    </row>
    <row r="337" spans="1:23" x14ac:dyDescent="0.3">
      <c r="A337">
        <v>119264286</v>
      </c>
      <c r="B337" t="s">
        <v>341</v>
      </c>
      <c r="C337" t="s">
        <v>34</v>
      </c>
      <c r="D337" t="s">
        <v>35</v>
      </c>
      <c r="E337">
        <v>268</v>
      </c>
      <c r="F337" t="s">
        <v>352</v>
      </c>
      <c r="G337" t="s">
        <v>181</v>
      </c>
      <c r="H337" t="s">
        <v>235</v>
      </c>
      <c r="I337" s="1">
        <v>263800</v>
      </c>
      <c r="J337">
        <v>1</v>
      </c>
      <c r="K337" s="7">
        <f>Таблица1[[#This Row],[Штуки]]/SUMIFS(Таблица1[Штуки],Таблица1[Ветка],Таблица1[[#This Row],[Ветка]],Таблица1[Месяц],Таблица1[[#This Row],[Месяц]])</f>
        <v>1.3513513513513514E-2</v>
      </c>
      <c r="L337" s="1">
        <v>170000</v>
      </c>
      <c r="M337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1.3485376457769194E-2</v>
      </c>
      <c r="N337" t="s">
        <v>23</v>
      </c>
      <c r="O337">
        <v>1</v>
      </c>
      <c r="P337">
        <v>5</v>
      </c>
      <c r="Q337">
        <v>47</v>
      </c>
      <c r="R337" t="s">
        <v>342</v>
      </c>
      <c r="S337">
        <v>110</v>
      </c>
      <c r="T337">
        <v>85</v>
      </c>
      <c r="U337">
        <v>60</v>
      </c>
      <c r="V337">
        <v>4</v>
      </c>
      <c r="W337">
        <v>-18</v>
      </c>
    </row>
    <row r="338" spans="1:23" x14ac:dyDescent="0.3">
      <c r="A338">
        <v>119662367</v>
      </c>
      <c r="B338" t="s">
        <v>341</v>
      </c>
      <c r="C338" t="s">
        <v>282</v>
      </c>
      <c r="D338" t="s">
        <v>35</v>
      </c>
      <c r="E338">
        <v>150</v>
      </c>
      <c r="F338" t="s">
        <v>351</v>
      </c>
      <c r="G338" t="s">
        <v>179</v>
      </c>
      <c r="H338" t="s">
        <v>235</v>
      </c>
      <c r="I338" s="1">
        <v>140000</v>
      </c>
      <c r="J338">
        <v>1</v>
      </c>
      <c r="K338" s="7">
        <f>Таблица1[[#This Row],[Штуки]]/SUMIFS(Таблица1[Штуки],Таблица1[Ветка],Таблица1[[#This Row],[Ветка]],Таблица1[Месяц],Таблица1[[#This Row],[Месяц]])</f>
        <v>1.3513513513513514E-2</v>
      </c>
      <c r="L338" s="1">
        <v>140000</v>
      </c>
      <c r="M338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5.0073244638595103E-3</v>
      </c>
      <c r="N338" t="s">
        <v>96</v>
      </c>
      <c r="O338">
        <v>1</v>
      </c>
      <c r="P338">
        <v>5</v>
      </c>
      <c r="Q338">
        <v>0</v>
      </c>
      <c r="R338" t="s">
        <v>344</v>
      </c>
      <c r="S338">
        <v>75</v>
      </c>
      <c r="T338">
        <v>85</v>
      </c>
      <c r="U338">
        <v>56</v>
      </c>
      <c r="V338">
        <v>3</v>
      </c>
      <c r="W338">
        <v>0</v>
      </c>
    </row>
    <row r="339" spans="1:23" x14ac:dyDescent="0.3">
      <c r="A339">
        <v>119264288</v>
      </c>
      <c r="B339" t="s">
        <v>341</v>
      </c>
      <c r="C339" t="s">
        <v>65</v>
      </c>
      <c r="D339" t="s">
        <v>35</v>
      </c>
      <c r="E339">
        <v>155</v>
      </c>
      <c r="F339" t="s">
        <v>351</v>
      </c>
      <c r="G339" t="s">
        <v>179</v>
      </c>
      <c r="H339" t="s">
        <v>235</v>
      </c>
      <c r="I339" s="1">
        <v>116500</v>
      </c>
      <c r="J339">
        <v>1</v>
      </c>
      <c r="K339" s="7">
        <f>Таблица1[[#This Row],[Штуки]]/SUMIFS(Таблица1[Штуки],Таблица1[Ветка],Таблица1[[#This Row],[Ветка]],Таблица1[Месяц],Таблица1[[#This Row],[Месяц]])</f>
        <v>1.3513513513513514E-2</v>
      </c>
      <c r="L339" s="1">
        <v>116500</v>
      </c>
      <c r="M339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4.1668092859973782E-3</v>
      </c>
      <c r="N339" t="s">
        <v>23</v>
      </c>
      <c r="O339">
        <v>1</v>
      </c>
      <c r="P339">
        <v>5</v>
      </c>
      <c r="Q339">
        <v>16</v>
      </c>
      <c r="R339" t="s">
        <v>342</v>
      </c>
      <c r="S339">
        <v>50</v>
      </c>
      <c r="T339">
        <v>80</v>
      </c>
      <c r="U339">
        <v>80</v>
      </c>
      <c r="V339">
        <v>3</v>
      </c>
      <c r="W339">
        <v>0</v>
      </c>
    </row>
    <row r="340" spans="1:23" x14ac:dyDescent="0.3">
      <c r="A340">
        <v>123748471</v>
      </c>
      <c r="B340" t="s">
        <v>341</v>
      </c>
      <c r="C340" t="s">
        <v>167</v>
      </c>
      <c r="D340" t="s">
        <v>35</v>
      </c>
      <c r="E340">
        <v>112</v>
      </c>
      <c r="F340" t="s">
        <v>351</v>
      </c>
      <c r="G340" t="s">
        <v>185</v>
      </c>
      <c r="H340" t="s">
        <v>235</v>
      </c>
      <c r="I340" s="1">
        <v>99300</v>
      </c>
      <c r="J340">
        <v>1</v>
      </c>
      <c r="K340" s="7">
        <f>Таблица1[[#This Row],[Штуки]]/SUMIFS(Таблица1[Штуки],Таблица1[Ветка],Таблица1[[#This Row],[Ветка]],Таблица1[Месяц],Таблица1[[#This Row],[Месяц]])</f>
        <v>1.3513513513513514E-2</v>
      </c>
      <c r="L340" s="1">
        <v>92822</v>
      </c>
      <c r="M340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3.3199276527454821E-3</v>
      </c>
      <c r="N340" t="s">
        <v>96</v>
      </c>
      <c r="O340">
        <v>1</v>
      </c>
      <c r="P340">
        <v>0</v>
      </c>
      <c r="Q340">
        <v>0</v>
      </c>
      <c r="R340" t="s">
        <v>344</v>
      </c>
      <c r="S340">
        <v>66</v>
      </c>
      <c r="T340">
        <v>82</v>
      </c>
      <c r="U340">
        <v>48</v>
      </c>
      <c r="V340">
        <v>2</v>
      </c>
      <c r="W340">
        <v>-18</v>
      </c>
    </row>
    <row r="341" spans="1:23" x14ac:dyDescent="0.3">
      <c r="A341">
        <v>137444919</v>
      </c>
      <c r="B341" t="s">
        <v>341</v>
      </c>
      <c r="C341" t="s">
        <v>28</v>
      </c>
      <c r="D341" t="s">
        <v>20</v>
      </c>
      <c r="E341">
        <v>700</v>
      </c>
      <c r="F341" t="s">
        <v>357</v>
      </c>
      <c r="G341" t="s">
        <v>177</v>
      </c>
      <c r="H341" t="s">
        <v>283</v>
      </c>
      <c r="I341" s="1">
        <v>376545</v>
      </c>
      <c r="J341">
        <v>82</v>
      </c>
      <c r="K341" s="7">
        <f>Таблица1[[#This Row],[Штуки]]/SUMIFS(Таблица1[Штуки],Таблица1[Ветка],Таблица1[[#This Row],[Ветка]],Таблица1[Месяц],Таблица1[[#This Row],[Месяц]])</f>
        <v>0.49696969696969695</v>
      </c>
      <c r="L341" s="1">
        <v>31404035</v>
      </c>
      <c r="M341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0.49272175592257039</v>
      </c>
      <c r="N341" t="s">
        <v>23</v>
      </c>
      <c r="O341">
        <v>1</v>
      </c>
      <c r="P341">
        <v>5</v>
      </c>
      <c r="Q341">
        <v>59</v>
      </c>
      <c r="R341" t="s">
        <v>342</v>
      </c>
      <c r="S341">
        <v>200</v>
      </c>
      <c r="T341">
        <v>85</v>
      </c>
      <c r="U341">
        <v>76</v>
      </c>
      <c r="V341">
        <v>7</v>
      </c>
      <c r="W341">
        <v>-24</v>
      </c>
    </row>
    <row r="342" spans="1:23" x14ac:dyDescent="0.3">
      <c r="A342">
        <v>121978898</v>
      </c>
      <c r="B342" t="s">
        <v>341</v>
      </c>
      <c r="C342" t="s">
        <v>29</v>
      </c>
      <c r="D342" t="s">
        <v>30</v>
      </c>
      <c r="E342">
        <v>718</v>
      </c>
      <c r="F342" t="s">
        <v>357</v>
      </c>
      <c r="G342" t="s">
        <v>180</v>
      </c>
      <c r="H342" t="s">
        <v>283</v>
      </c>
      <c r="I342" s="1">
        <v>420000</v>
      </c>
      <c r="J342">
        <v>31</v>
      </c>
      <c r="K342" s="7">
        <f>Таблица1[[#This Row],[Штуки]]/SUMIFS(Таблица1[Штуки],Таблица1[Ветка],Таблица1[[#This Row],[Ветка]],Таблица1[Месяц],Таблица1[[#This Row],[Месяц]])</f>
        <v>0.18787878787878787</v>
      </c>
      <c r="L342" s="1">
        <v>13227429</v>
      </c>
      <c r="M342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0.20753517957871112</v>
      </c>
      <c r="N342" t="s">
        <v>23</v>
      </c>
      <c r="O342">
        <v>6</v>
      </c>
      <c r="P342">
        <v>4.9000000000000004</v>
      </c>
      <c r="Q342">
        <v>143</v>
      </c>
      <c r="R342" t="s">
        <v>344</v>
      </c>
      <c r="S342">
        <v>200</v>
      </c>
      <c r="T342">
        <v>86</v>
      </c>
      <c r="U342">
        <v>75.7</v>
      </c>
      <c r="V342">
        <v>6</v>
      </c>
      <c r="W342">
        <v>-18</v>
      </c>
    </row>
    <row r="343" spans="1:23" x14ac:dyDescent="0.3">
      <c r="A343">
        <v>100018121</v>
      </c>
      <c r="B343" t="s">
        <v>343</v>
      </c>
      <c r="C343" t="s">
        <v>24</v>
      </c>
      <c r="D343" t="s">
        <v>25</v>
      </c>
      <c r="E343">
        <v>600</v>
      </c>
      <c r="F343" t="s">
        <v>356</v>
      </c>
      <c r="G343" t="s">
        <v>179</v>
      </c>
      <c r="H343" t="s">
        <v>283</v>
      </c>
      <c r="I343" s="1">
        <v>291800</v>
      </c>
      <c r="J343">
        <v>45</v>
      </c>
      <c r="K343" s="7">
        <f>Таблица1[[#This Row],[Штуки]]/SUMIFS(Таблица1[Штуки],Таблица1[Ветка],Таблица1[[#This Row],[Ветка]],Таблица1[Месяц],Таблица1[[#This Row],[Месяц]])</f>
        <v>0.46391752577319589</v>
      </c>
      <c r="L343" s="1">
        <v>12737440</v>
      </c>
      <c r="M343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0.54838732037297655</v>
      </c>
      <c r="N343" t="s">
        <v>23</v>
      </c>
      <c r="O343">
        <v>12</v>
      </c>
      <c r="P343">
        <v>4.7</v>
      </c>
      <c r="Q343">
        <v>154</v>
      </c>
      <c r="R343" t="s">
        <v>344</v>
      </c>
      <c r="S343">
        <v>203.5</v>
      </c>
      <c r="T343">
        <v>81</v>
      </c>
      <c r="U343">
        <v>66.5</v>
      </c>
      <c r="V343">
        <v>2</v>
      </c>
      <c r="W343">
        <v>-18</v>
      </c>
    </row>
    <row r="344" spans="1:23" x14ac:dyDescent="0.3">
      <c r="A344">
        <v>148881342</v>
      </c>
      <c r="B344" t="s">
        <v>341</v>
      </c>
      <c r="C344" t="s">
        <v>110</v>
      </c>
      <c r="D344" t="s">
        <v>84</v>
      </c>
      <c r="E344">
        <v>125</v>
      </c>
      <c r="F344" t="s">
        <v>351</v>
      </c>
      <c r="G344" t="s">
        <v>180</v>
      </c>
      <c r="H344" t="s">
        <v>283</v>
      </c>
      <c r="I344" s="1">
        <v>556000</v>
      </c>
      <c r="J344">
        <v>20</v>
      </c>
      <c r="K344" s="7">
        <f>Таблица1[[#This Row],[Штуки]]/SUMIFS(Таблица1[Штуки],Таблица1[Ветка],Таблица1[[#This Row],[Ветка]],Таблица1[Месяц],Таблица1[[#This Row],[Месяц]])</f>
        <v>0.25</v>
      </c>
      <c r="L344" s="1">
        <v>11356456</v>
      </c>
      <c r="M344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0.37535063351757808</v>
      </c>
      <c r="N344" t="s">
        <v>23</v>
      </c>
      <c r="O344">
        <v>1</v>
      </c>
      <c r="P344">
        <v>5</v>
      </c>
      <c r="Q344">
        <v>12</v>
      </c>
      <c r="R344" t="s">
        <v>342</v>
      </c>
      <c r="S344">
        <v>250</v>
      </c>
      <c r="T344">
        <v>84</v>
      </c>
      <c r="U344">
        <v>75</v>
      </c>
      <c r="V344">
        <v>9</v>
      </c>
      <c r="W344">
        <v>-22</v>
      </c>
    </row>
    <row r="345" spans="1:23" x14ac:dyDescent="0.3">
      <c r="A345">
        <v>137444929</v>
      </c>
      <c r="B345" t="s">
        <v>341</v>
      </c>
      <c r="C345" t="s">
        <v>19</v>
      </c>
      <c r="D345" t="s">
        <v>20</v>
      </c>
      <c r="E345">
        <v>100</v>
      </c>
      <c r="F345" t="s">
        <v>351</v>
      </c>
      <c r="G345" t="s">
        <v>177</v>
      </c>
      <c r="H345" t="s">
        <v>283</v>
      </c>
      <c r="I345" s="1">
        <v>533584</v>
      </c>
      <c r="J345">
        <v>17</v>
      </c>
      <c r="K345" s="7">
        <f>Таблица1[[#This Row],[Штуки]]/SUMIFS(Таблица1[Штуки],Таблица1[Ветка],Таблица1[[#This Row],[Ветка]],Таблица1[Месяц],Таблица1[[#This Row],[Месяц]])</f>
        <v>0.21249999999999999</v>
      </c>
      <c r="L345" s="1">
        <v>9168836</v>
      </c>
      <c r="M345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0.30304598558025286</v>
      </c>
      <c r="N345" t="s">
        <v>23</v>
      </c>
      <c r="O345">
        <v>4</v>
      </c>
      <c r="P345">
        <v>4.8</v>
      </c>
      <c r="Q345">
        <v>43</v>
      </c>
      <c r="R345" t="s">
        <v>342</v>
      </c>
      <c r="S345">
        <v>250</v>
      </c>
      <c r="T345">
        <v>85</v>
      </c>
      <c r="U345">
        <v>76</v>
      </c>
      <c r="V345">
        <v>9</v>
      </c>
      <c r="W345">
        <v>-18</v>
      </c>
    </row>
    <row r="346" spans="1:23" x14ac:dyDescent="0.3">
      <c r="A346">
        <v>121978941</v>
      </c>
      <c r="B346" t="s">
        <v>341</v>
      </c>
      <c r="C346" t="s">
        <v>47</v>
      </c>
      <c r="D346" t="s">
        <v>30</v>
      </c>
      <c r="E346">
        <v>268</v>
      </c>
      <c r="F346" t="s">
        <v>352</v>
      </c>
      <c r="G346" t="s">
        <v>182</v>
      </c>
      <c r="H346" t="s">
        <v>283</v>
      </c>
      <c r="I346" s="1">
        <v>179900</v>
      </c>
      <c r="J346">
        <v>46</v>
      </c>
      <c r="K346" s="7">
        <f>Таблица1[[#This Row],[Штуки]]/SUMIFS(Таблица1[Штуки],Таблица1[Ветка],Таблица1[[#This Row],[Ветка]],Таблица1[Месяц],Таблица1[[#This Row],[Месяц]])</f>
        <v>0.40350877192982454</v>
      </c>
      <c r="L346" s="1">
        <v>8496138</v>
      </c>
      <c r="M346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0.48989114283589086</v>
      </c>
      <c r="N346" t="s">
        <v>23</v>
      </c>
      <c r="O346">
        <v>1</v>
      </c>
      <c r="P346">
        <v>4.9000000000000004</v>
      </c>
      <c r="Q346">
        <v>71</v>
      </c>
      <c r="R346" t="s">
        <v>344</v>
      </c>
      <c r="S346">
        <v>109.5</v>
      </c>
      <c r="T346">
        <v>85</v>
      </c>
      <c r="U346">
        <v>60</v>
      </c>
      <c r="V346">
        <v>3</v>
      </c>
      <c r="W346">
        <v>-18</v>
      </c>
    </row>
    <row r="347" spans="1:23" x14ac:dyDescent="0.3">
      <c r="A347">
        <v>121978926</v>
      </c>
      <c r="B347" t="s">
        <v>341</v>
      </c>
      <c r="C347" t="s">
        <v>72</v>
      </c>
      <c r="D347" t="s">
        <v>30</v>
      </c>
      <c r="E347">
        <v>328</v>
      </c>
      <c r="F347" t="s">
        <v>353</v>
      </c>
      <c r="G347" t="s">
        <v>179</v>
      </c>
      <c r="H347" t="s">
        <v>283</v>
      </c>
      <c r="I347" s="1">
        <v>214900</v>
      </c>
      <c r="J347">
        <v>38</v>
      </c>
      <c r="K347" s="7">
        <f>Таблица1[[#This Row],[Штуки]]/SUMIFS(Таблица1[Штуки],Таблица1[Ветка],Таблица1[[#This Row],[Ветка]],Таблица1[Месяц],Таблица1[[#This Row],[Месяц]])</f>
        <v>0.32203389830508472</v>
      </c>
      <c r="L347" s="1">
        <v>8285279</v>
      </c>
      <c r="M347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0.32768783969030291</v>
      </c>
      <c r="N347" t="s">
        <v>23</v>
      </c>
      <c r="O347">
        <v>3</v>
      </c>
      <c r="P347">
        <v>4.9000000000000004</v>
      </c>
      <c r="Q347">
        <v>151</v>
      </c>
      <c r="R347" t="s">
        <v>344</v>
      </c>
      <c r="S347">
        <v>124</v>
      </c>
      <c r="T347">
        <v>82.6</v>
      </c>
      <c r="U347">
        <v>69.3</v>
      </c>
      <c r="V347">
        <v>4</v>
      </c>
      <c r="W347">
        <v>-18</v>
      </c>
    </row>
    <row r="348" spans="1:23" x14ac:dyDescent="0.3">
      <c r="A348">
        <v>137446425</v>
      </c>
      <c r="B348" t="s">
        <v>341</v>
      </c>
      <c r="C348" t="s">
        <v>32</v>
      </c>
      <c r="D348" t="s">
        <v>20</v>
      </c>
      <c r="E348">
        <v>500</v>
      </c>
      <c r="F348" t="s">
        <v>355</v>
      </c>
      <c r="G348" t="s">
        <v>183</v>
      </c>
      <c r="H348" t="s">
        <v>283</v>
      </c>
      <c r="I348" s="1">
        <v>322199</v>
      </c>
      <c r="J348">
        <v>17</v>
      </c>
      <c r="K348" s="7">
        <f>Таблица1[[#This Row],[Штуки]]/SUMIFS(Таблица1[Штуки],Таблица1[Ветка],Таблица1[[#This Row],[Ветка]],Таблица1[Месяц],Таблица1[[#This Row],[Месяц]])</f>
        <v>0.1223021582733813</v>
      </c>
      <c r="L348" s="1">
        <v>5637358</v>
      </c>
      <c r="M348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0.15110001167017334</v>
      </c>
      <c r="N348" t="s">
        <v>23</v>
      </c>
      <c r="O348">
        <v>3</v>
      </c>
      <c r="P348">
        <v>4.9000000000000004</v>
      </c>
      <c r="Q348">
        <v>29</v>
      </c>
      <c r="R348" t="s">
        <v>342</v>
      </c>
      <c r="S348">
        <v>150</v>
      </c>
      <c r="T348">
        <v>85</v>
      </c>
      <c r="U348">
        <v>76</v>
      </c>
      <c r="V348">
        <v>5</v>
      </c>
      <c r="W348">
        <v>-24</v>
      </c>
    </row>
    <row r="349" spans="1:23" x14ac:dyDescent="0.3">
      <c r="A349">
        <v>2800664</v>
      </c>
      <c r="B349" t="s">
        <v>343</v>
      </c>
      <c r="C349" t="s">
        <v>27</v>
      </c>
      <c r="D349" t="s">
        <v>25</v>
      </c>
      <c r="E349">
        <v>510</v>
      </c>
      <c r="F349" t="s">
        <v>355</v>
      </c>
      <c r="G349" t="s">
        <v>179</v>
      </c>
      <c r="H349" t="s">
        <v>283</v>
      </c>
      <c r="I349" s="1">
        <v>258950</v>
      </c>
      <c r="J349">
        <v>21</v>
      </c>
      <c r="K349" s="7">
        <f>Таблица1[[#This Row],[Штуки]]/SUMIFS(Таблица1[Штуки],Таблица1[Ветка],Таблица1[[#This Row],[Ветка]],Таблица1[Месяц],Таблица1[[#This Row],[Месяц]])</f>
        <v>0.15107913669064749</v>
      </c>
      <c r="L349" s="1">
        <v>5509307</v>
      </c>
      <c r="M349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0.1476678174411786</v>
      </c>
      <c r="N349" t="s">
        <v>23</v>
      </c>
      <c r="O349">
        <v>18</v>
      </c>
      <c r="P349">
        <v>4.8</v>
      </c>
      <c r="Q349">
        <v>198</v>
      </c>
      <c r="R349" t="s">
        <v>344</v>
      </c>
      <c r="S349">
        <v>179</v>
      </c>
      <c r="T349">
        <v>81</v>
      </c>
      <c r="U349">
        <v>66</v>
      </c>
      <c r="V349">
        <v>2</v>
      </c>
      <c r="W349">
        <v>-18</v>
      </c>
    </row>
    <row r="350" spans="1:23" x14ac:dyDescent="0.3">
      <c r="A350">
        <v>121978785</v>
      </c>
      <c r="B350" t="s">
        <v>341</v>
      </c>
      <c r="C350" t="s">
        <v>97</v>
      </c>
      <c r="D350" t="s">
        <v>30</v>
      </c>
      <c r="E350">
        <v>100</v>
      </c>
      <c r="F350" t="s">
        <v>351</v>
      </c>
      <c r="G350" t="s">
        <v>180</v>
      </c>
      <c r="H350" t="s">
        <v>283</v>
      </c>
      <c r="I350" s="1">
        <v>658000</v>
      </c>
      <c r="J350">
        <v>8</v>
      </c>
      <c r="K350" s="7">
        <f>Таблица1[[#This Row],[Штуки]]/SUMIFS(Таблица1[Штуки],Таблица1[Ветка],Таблица1[[#This Row],[Ветка]],Таблица1[Месяц],Таблица1[[#This Row],[Месяц]])</f>
        <v>0.1</v>
      </c>
      <c r="L350" s="1">
        <v>5443919</v>
      </c>
      <c r="M350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0.17993099655987571</v>
      </c>
      <c r="N350" t="s">
        <v>23</v>
      </c>
      <c r="O350">
        <v>1</v>
      </c>
      <c r="P350">
        <v>4.9000000000000004</v>
      </c>
      <c r="Q350">
        <v>32</v>
      </c>
      <c r="R350" t="s">
        <v>344</v>
      </c>
      <c r="S350">
        <v>254.5</v>
      </c>
      <c r="T350">
        <v>86</v>
      </c>
      <c r="U350">
        <v>89</v>
      </c>
      <c r="V350">
        <v>5</v>
      </c>
      <c r="W350">
        <v>0</v>
      </c>
    </row>
    <row r="351" spans="1:23" x14ac:dyDescent="0.3">
      <c r="A351">
        <v>121978911</v>
      </c>
      <c r="B351" t="s">
        <v>341</v>
      </c>
      <c r="C351" t="s">
        <v>63</v>
      </c>
      <c r="D351" t="s">
        <v>30</v>
      </c>
      <c r="E351">
        <v>518</v>
      </c>
      <c r="F351" t="s">
        <v>355</v>
      </c>
      <c r="G351" t="s">
        <v>180</v>
      </c>
      <c r="H351" t="s">
        <v>283</v>
      </c>
      <c r="I351" s="1">
        <v>295000</v>
      </c>
      <c r="J351">
        <v>16</v>
      </c>
      <c r="K351" s="7">
        <f>Таблица1[[#This Row],[Штуки]]/SUMIFS(Таблица1[Штуки],Таблица1[Ветка],Таблица1[[#This Row],[Ветка]],Таблица1[Месяц],Таблица1[[#This Row],[Месяц]])</f>
        <v>0.11510791366906475</v>
      </c>
      <c r="L351" s="1">
        <v>4856295</v>
      </c>
      <c r="M351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0.13016491611386122</v>
      </c>
      <c r="N351" t="s">
        <v>23</v>
      </c>
      <c r="O351">
        <v>7</v>
      </c>
      <c r="P351">
        <v>4.9000000000000004</v>
      </c>
      <c r="Q351">
        <v>60</v>
      </c>
      <c r="R351" t="s">
        <v>344</v>
      </c>
      <c r="S351">
        <v>147.5</v>
      </c>
      <c r="T351">
        <v>86</v>
      </c>
      <c r="U351">
        <v>75.7</v>
      </c>
      <c r="V351">
        <v>4</v>
      </c>
      <c r="W351">
        <v>-18</v>
      </c>
    </row>
    <row r="352" spans="1:23" x14ac:dyDescent="0.3">
      <c r="A352">
        <v>135246793</v>
      </c>
      <c r="B352" t="s">
        <v>341</v>
      </c>
      <c r="C352" t="s">
        <v>281</v>
      </c>
      <c r="D352" t="s">
        <v>52</v>
      </c>
      <c r="E352">
        <v>365</v>
      </c>
      <c r="F352" t="s">
        <v>353</v>
      </c>
      <c r="G352" t="s">
        <v>180</v>
      </c>
      <c r="H352" t="s">
        <v>283</v>
      </c>
      <c r="I352" s="1">
        <v>217800</v>
      </c>
      <c r="J352">
        <v>21</v>
      </c>
      <c r="K352" s="7">
        <f>Таблица1[[#This Row],[Штуки]]/SUMIFS(Таблица1[Штуки],Таблица1[Ветка],Таблица1[[#This Row],[Ветка]],Таблица1[Месяц],Таблица1[[#This Row],[Месяц]])</f>
        <v>0.17796610169491525</v>
      </c>
      <c r="L352" s="1">
        <v>4526918</v>
      </c>
      <c r="M352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0.17904236898662634</v>
      </c>
      <c r="N352" t="s">
        <v>23</v>
      </c>
      <c r="O352">
        <v>5</v>
      </c>
      <c r="P352">
        <v>5</v>
      </c>
      <c r="Q352">
        <v>12</v>
      </c>
      <c r="R352" t="s">
        <v>344</v>
      </c>
      <c r="S352">
        <v>128</v>
      </c>
      <c r="T352">
        <v>91</v>
      </c>
      <c r="U352">
        <v>65</v>
      </c>
      <c r="V352">
        <v>3</v>
      </c>
      <c r="W352">
        <v>-20</v>
      </c>
    </row>
    <row r="353" spans="1:23" x14ac:dyDescent="0.3">
      <c r="A353">
        <v>157671625</v>
      </c>
      <c r="B353" t="s">
        <v>341</v>
      </c>
      <c r="C353" t="s">
        <v>187</v>
      </c>
      <c r="D353" t="s">
        <v>74</v>
      </c>
      <c r="E353">
        <v>540</v>
      </c>
      <c r="F353" t="s">
        <v>355</v>
      </c>
      <c r="G353" t="s">
        <v>179</v>
      </c>
      <c r="H353" t="s">
        <v>283</v>
      </c>
      <c r="I353" s="1">
        <v>288790</v>
      </c>
      <c r="J353">
        <v>35</v>
      </c>
      <c r="K353" s="7">
        <f>Таблица1[[#This Row],[Штуки]]/SUMIFS(Таблица1[Штуки],Таблица1[Ветка],Таблица1[[#This Row],[Ветка]],Таблица1[Месяц],Таблица1[[#This Row],[Месяц]])</f>
        <v>0.25179856115107913</v>
      </c>
      <c r="L353" s="1">
        <v>4501324</v>
      </c>
      <c r="M353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0.12065050843519808</v>
      </c>
      <c r="N353" t="s">
        <v>23</v>
      </c>
      <c r="O353">
        <v>8</v>
      </c>
      <c r="P353">
        <v>5</v>
      </c>
      <c r="Q353">
        <v>24</v>
      </c>
      <c r="R353" t="s">
        <v>344</v>
      </c>
      <c r="S353">
        <v>150</v>
      </c>
      <c r="T353">
        <v>85</v>
      </c>
      <c r="U353">
        <v>70</v>
      </c>
      <c r="V353">
        <v>7</v>
      </c>
      <c r="W353">
        <v>-20</v>
      </c>
    </row>
    <row r="354" spans="1:23" x14ac:dyDescent="0.3">
      <c r="A354">
        <v>142526631</v>
      </c>
      <c r="B354" t="s">
        <v>341</v>
      </c>
      <c r="C354" t="s">
        <v>128</v>
      </c>
      <c r="D354" t="s">
        <v>115</v>
      </c>
      <c r="E354">
        <v>700</v>
      </c>
      <c r="F354" t="s">
        <v>357</v>
      </c>
      <c r="G354" t="s">
        <v>180</v>
      </c>
      <c r="H354" t="s">
        <v>283</v>
      </c>
      <c r="I354" s="1">
        <v>368000</v>
      </c>
      <c r="J354">
        <v>11</v>
      </c>
      <c r="K354" s="7">
        <f>Таблица1[[#This Row],[Штуки]]/SUMIFS(Таблица1[Штуки],Таблица1[Ветка],Таблица1[[#This Row],[Ветка]],Таблица1[Месяц],Таблица1[[#This Row],[Месяц]])</f>
        <v>6.6666666666666666E-2</v>
      </c>
      <c r="L354" s="1">
        <v>4168973</v>
      </c>
      <c r="M354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6.5410183658048598E-2</v>
      </c>
      <c r="N354" t="s">
        <v>23</v>
      </c>
      <c r="O354">
        <v>2</v>
      </c>
      <c r="P354">
        <v>5</v>
      </c>
      <c r="Q354">
        <v>5</v>
      </c>
      <c r="R354" t="s">
        <v>342</v>
      </c>
      <c r="S354">
        <v>200</v>
      </c>
      <c r="T354">
        <v>80</v>
      </c>
      <c r="U354">
        <v>76</v>
      </c>
      <c r="V354">
        <v>7</v>
      </c>
      <c r="W354">
        <v>-24</v>
      </c>
    </row>
    <row r="355" spans="1:23" x14ac:dyDescent="0.3">
      <c r="A355">
        <v>148808069</v>
      </c>
      <c r="B355" t="s">
        <v>341</v>
      </c>
      <c r="C355" t="s">
        <v>73</v>
      </c>
      <c r="D355" t="s">
        <v>74</v>
      </c>
      <c r="E355">
        <v>420</v>
      </c>
      <c r="F355" t="s">
        <v>354</v>
      </c>
      <c r="G355" t="s">
        <v>179</v>
      </c>
      <c r="H355" t="s">
        <v>283</v>
      </c>
      <c r="I355" s="1">
        <v>220894</v>
      </c>
      <c r="J355">
        <v>16</v>
      </c>
      <c r="K355" s="7">
        <f>Таблица1[[#This Row],[Штуки]]/SUMIFS(Таблица1[Штуки],Таблица1[Ветка],Таблица1[[#This Row],[Ветка]],Таблица1[Месяц],Таблица1[[#This Row],[Месяц]])</f>
        <v>0.5161290322580645</v>
      </c>
      <c r="L355" s="1">
        <v>3657551</v>
      </c>
      <c r="M355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0.47756413436946221</v>
      </c>
      <c r="N355" t="s">
        <v>23</v>
      </c>
      <c r="O355">
        <v>10</v>
      </c>
      <c r="P355">
        <v>5</v>
      </c>
      <c r="Q355">
        <v>15</v>
      </c>
      <c r="R355" t="s">
        <v>342</v>
      </c>
      <c r="S355">
        <v>139.30000000000001</v>
      </c>
      <c r="T355">
        <v>89</v>
      </c>
      <c r="U355">
        <v>77.599999999999994</v>
      </c>
      <c r="V355">
        <v>6</v>
      </c>
      <c r="W355">
        <v>0</v>
      </c>
    </row>
    <row r="356" spans="1:23" x14ac:dyDescent="0.3">
      <c r="A356">
        <v>145145986</v>
      </c>
      <c r="B356" t="s">
        <v>343</v>
      </c>
      <c r="C356" t="s">
        <v>117</v>
      </c>
      <c r="D356" t="s">
        <v>30</v>
      </c>
      <c r="E356">
        <v>1380</v>
      </c>
      <c r="F356" t="s">
        <v>363</v>
      </c>
      <c r="G356" t="s">
        <v>26</v>
      </c>
      <c r="H356" t="s">
        <v>283</v>
      </c>
      <c r="I356" s="1">
        <v>600000</v>
      </c>
      <c r="J356">
        <v>7</v>
      </c>
      <c r="K356" s="7">
        <f>Таблица1[[#This Row],[Штуки]]/SUMIFS(Таблица1[Штуки],Таблица1[Ветка],Таблица1[[#This Row],[Ветка]],Таблица1[Месяц],Таблица1[[#This Row],[Месяц]])</f>
        <v>1</v>
      </c>
      <c r="L356" s="1">
        <v>3585521</v>
      </c>
      <c r="M356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1</v>
      </c>
      <c r="N356" t="s">
        <v>23</v>
      </c>
      <c r="O356">
        <v>2</v>
      </c>
      <c r="P356">
        <v>4.9000000000000004</v>
      </c>
      <c r="Q356">
        <v>5</v>
      </c>
      <c r="R356" t="s">
        <v>344</v>
      </c>
      <c r="S356">
        <v>260</v>
      </c>
      <c r="T356">
        <v>93.5</v>
      </c>
      <c r="U356">
        <v>100</v>
      </c>
      <c r="V356">
        <v>1</v>
      </c>
      <c r="W356">
        <v>-35</v>
      </c>
    </row>
    <row r="357" spans="1:23" x14ac:dyDescent="0.3">
      <c r="A357">
        <v>139085554</v>
      </c>
      <c r="B357" t="s">
        <v>341</v>
      </c>
      <c r="C357" t="s">
        <v>94</v>
      </c>
      <c r="D357" t="s">
        <v>52</v>
      </c>
      <c r="E357">
        <v>326</v>
      </c>
      <c r="F357" t="s">
        <v>353</v>
      </c>
      <c r="G357" t="s">
        <v>177</v>
      </c>
      <c r="H357" t="s">
        <v>283</v>
      </c>
      <c r="I357" s="1">
        <v>200000</v>
      </c>
      <c r="J357">
        <v>17</v>
      </c>
      <c r="K357" s="7">
        <f>Таблица1[[#This Row],[Штуки]]/SUMIFS(Таблица1[Штуки],Таблица1[Ветка],Таблица1[[#This Row],[Ветка]],Таблица1[Месяц],Таблица1[[#This Row],[Месяц]])</f>
        <v>0.1440677966101695</v>
      </c>
      <c r="L357" s="1">
        <v>3299404</v>
      </c>
      <c r="M357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0.13049344132231927</v>
      </c>
      <c r="N357" t="s">
        <v>23</v>
      </c>
      <c r="O357">
        <v>5</v>
      </c>
      <c r="P357">
        <v>5</v>
      </c>
      <c r="Q357">
        <v>14</v>
      </c>
      <c r="R357" t="s">
        <v>344</v>
      </c>
      <c r="S357">
        <v>125</v>
      </c>
      <c r="T357">
        <v>91</v>
      </c>
      <c r="U357">
        <v>62</v>
      </c>
      <c r="V357">
        <v>3</v>
      </c>
      <c r="W357">
        <v>-18</v>
      </c>
    </row>
    <row r="358" spans="1:23" x14ac:dyDescent="0.3">
      <c r="A358">
        <v>157745132</v>
      </c>
      <c r="B358" t="s">
        <v>343</v>
      </c>
      <c r="C358" t="s">
        <v>284</v>
      </c>
      <c r="D358" t="s">
        <v>203</v>
      </c>
      <c r="E358">
        <v>2500</v>
      </c>
      <c r="F358">
        <v>2500</v>
      </c>
      <c r="G358" t="s">
        <v>26</v>
      </c>
      <c r="H358" t="s">
        <v>283</v>
      </c>
      <c r="I358" s="1">
        <v>725580</v>
      </c>
      <c r="J358">
        <v>4</v>
      </c>
      <c r="K358" s="7">
        <f>Таблица1[[#This Row],[Штуки]]/SUMIFS(Таблица1[Штуки],Таблица1[Ветка],Таблица1[[#This Row],[Ветка]],Таблица1[Месяц],Таблица1[[#This Row],[Месяц]])</f>
        <v>1</v>
      </c>
      <c r="L358" s="1">
        <v>2907690</v>
      </c>
      <c r="M358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1</v>
      </c>
      <c r="N358" t="s">
        <v>23</v>
      </c>
      <c r="O358">
        <v>3</v>
      </c>
      <c r="P358">
        <v>5</v>
      </c>
      <c r="Q358">
        <v>1</v>
      </c>
      <c r="R358" t="s">
        <v>342</v>
      </c>
      <c r="S358">
        <v>307</v>
      </c>
      <c r="T358">
        <v>88</v>
      </c>
      <c r="U358">
        <v>101</v>
      </c>
      <c r="V358">
        <v>9</v>
      </c>
      <c r="W358">
        <v>-18</v>
      </c>
    </row>
    <row r="359" spans="1:23" x14ac:dyDescent="0.3">
      <c r="A359">
        <v>145145984</v>
      </c>
      <c r="B359" t="s">
        <v>343</v>
      </c>
      <c r="C359" t="s">
        <v>236</v>
      </c>
      <c r="D359" t="s">
        <v>30</v>
      </c>
      <c r="E359">
        <v>1080</v>
      </c>
      <c r="F359" t="s">
        <v>360</v>
      </c>
      <c r="G359" t="s">
        <v>179</v>
      </c>
      <c r="H359" t="s">
        <v>283</v>
      </c>
      <c r="I359" s="1">
        <v>460000</v>
      </c>
      <c r="J359">
        <v>6</v>
      </c>
      <c r="K359" s="7">
        <f>Таблица1[[#This Row],[Штуки]]/SUMIFS(Таблица1[Штуки],Таблица1[Ветка],Таблица1[[#This Row],[Ветка]],Таблица1[Месяц],Таблица1[[#This Row],[Месяц]])</f>
        <v>0.6</v>
      </c>
      <c r="L359" s="1">
        <v>2768890</v>
      </c>
      <c r="M359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0.54091366663195872</v>
      </c>
      <c r="N359" t="s">
        <v>23</v>
      </c>
      <c r="O359">
        <v>2</v>
      </c>
      <c r="P359">
        <v>5</v>
      </c>
      <c r="Q359">
        <v>8</v>
      </c>
      <c r="R359" t="s">
        <v>344</v>
      </c>
      <c r="S359">
        <v>260</v>
      </c>
      <c r="T359">
        <v>93.5</v>
      </c>
      <c r="U359">
        <v>86.4</v>
      </c>
      <c r="V359">
        <v>1</v>
      </c>
      <c r="W359">
        <v>-35</v>
      </c>
    </row>
    <row r="360" spans="1:23" x14ac:dyDescent="0.3">
      <c r="A360">
        <v>106635013</v>
      </c>
      <c r="B360" t="s">
        <v>343</v>
      </c>
      <c r="C360" t="s">
        <v>224</v>
      </c>
      <c r="D360" t="s">
        <v>203</v>
      </c>
      <c r="E360">
        <v>850</v>
      </c>
      <c r="F360" t="s">
        <v>358</v>
      </c>
      <c r="G360" t="s">
        <v>225</v>
      </c>
      <c r="H360" t="s">
        <v>283</v>
      </c>
      <c r="I360" s="1">
        <v>381685</v>
      </c>
      <c r="J360">
        <v>6</v>
      </c>
      <c r="K360" s="7">
        <f>Таблица1[[#This Row],[Штуки]]/SUMIFS(Таблица1[Штуки],Таблица1[Ветка],Таблица1[[#This Row],[Ветка]],Таблица1[Месяц],Таблица1[[#This Row],[Месяц]])</f>
        <v>0.54545454545454541</v>
      </c>
      <c r="L360" s="1">
        <v>2723291</v>
      </c>
      <c r="M360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0.52056788020763145</v>
      </c>
      <c r="N360" t="s">
        <v>23</v>
      </c>
      <c r="O360">
        <v>6</v>
      </c>
      <c r="P360">
        <v>4.8</v>
      </c>
      <c r="Q360">
        <v>15</v>
      </c>
      <c r="R360" t="s">
        <v>344</v>
      </c>
      <c r="S360">
        <v>200.1</v>
      </c>
      <c r="T360">
        <v>87</v>
      </c>
      <c r="U360">
        <v>85.5</v>
      </c>
      <c r="V360">
        <v>0</v>
      </c>
      <c r="W360">
        <v>-18</v>
      </c>
    </row>
    <row r="361" spans="1:23" x14ac:dyDescent="0.3">
      <c r="A361">
        <v>148807910</v>
      </c>
      <c r="B361" t="s">
        <v>341</v>
      </c>
      <c r="C361" t="s">
        <v>174</v>
      </c>
      <c r="D361" t="s">
        <v>74</v>
      </c>
      <c r="E361">
        <v>280</v>
      </c>
      <c r="F361" t="s">
        <v>352</v>
      </c>
      <c r="G361" t="s">
        <v>179</v>
      </c>
      <c r="H361" t="s">
        <v>283</v>
      </c>
      <c r="I361" s="1">
        <v>173999</v>
      </c>
      <c r="J361">
        <v>34</v>
      </c>
      <c r="K361" s="7">
        <f>Таблица1[[#This Row],[Штуки]]/SUMIFS(Таблица1[Штуки],Таблица1[Ветка],Таблица1[[#This Row],[Ветка]],Таблица1[Месяц],Таблица1[[#This Row],[Месяц]])</f>
        <v>0.2982456140350877</v>
      </c>
      <c r="L361" s="1">
        <v>2625933</v>
      </c>
      <c r="M361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0.15141247922061524</v>
      </c>
      <c r="N361" t="s">
        <v>23</v>
      </c>
      <c r="O361">
        <v>7</v>
      </c>
      <c r="P361">
        <v>5</v>
      </c>
      <c r="Q361">
        <v>26</v>
      </c>
      <c r="R361" t="s">
        <v>342</v>
      </c>
      <c r="S361">
        <v>106.5</v>
      </c>
      <c r="T361">
        <v>89.6</v>
      </c>
      <c r="U361">
        <v>73.599999999999994</v>
      </c>
      <c r="V361">
        <v>3</v>
      </c>
      <c r="W361">
        <v>0</v>
      </c>
    </row>
    <row r="362" spans="1:23" x14ac:dyDescent="0.3">
      <c r="A362">
        <v>162887915</v>
      </c>
      <c r="B362" t="s">
        <v>343</v>
      </c>
      <c r="C362" t="s">
        <v>285</v>
      </c>
      <c r="D362" t="s">
        <v>104</v>
      </c>
      <c r="E362">
        <v>700</v>
      </c>
      <c r="F362" t="s">
        <v>357</v>
      </c>
      <c r="G362" t="s">
        <v>26</v>
      </c>
      <c r="H362" t="s">
        <v>283</v>
      </c>
      <c r="I362" s="1">
        <v>275000</v>
      </c>
      <c r="J362">
        <v>9</v>
      </c>
      <c r="K362" s="7">
        <f>Таблица1[[#This Row],[Штуки]]/SUMIFS(Таблица1[Штуки],Таблица1[Ветка],Таблица1[[#This Row],[Ветка]],Таблица1[Месяц],Таблица1[[#This Row],[Месяц]])</f>
        <v>5.4545454545454543E-2</v>
      </c>
      <c r="L362" s="1">
        <v>2553829</v>
      </c>
      <c r="M362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4.0068962768828341E-2</v>
      </c>
      <c r="N362" t="s">
        <v>23</v>
      </c>
      <c r="O362">
        <v>4</v>
      </c>
      <c r="P362">
        <v>5</v>
      </c>
      <c r="Q362">
        <v>0</v>
      </c>
      <c r="R362" t="s">
        <v>342</v>
      </c>
      <c r="S362">
        <v>193</v>
      </c>
      <c r="T362">
        <v>82.5</v>
      </c>
      <c r="U362">
        <v>71</v>
      </c>
      <c r="V362">
        <v>0</v>
      </c>
      <c r="W362">
        <v>-18</v>
      </c>
    </row>
    <row r="363" spans="1:23" x14ac:dyDescent="0.3">
      <c r="A363">
        <v>129607134</v>
      </c>
      <c r="B363" t="s">
        <v>341</v>
      </c>
      <c r="C363" t="s">
        <v>286</v>
      </c>
      <c r="D363" t="s">
        <v>52</v>
      </c>
      <c r="E363">
        <v>246</v>
      </c>
      <c r="F363" t="s">
        <v>352</v>
      </c>
      <c r="G363" t="s">
        <v>180</v>
      </c>
      <c r="H363" t="s">
        <v>283</v>
      </c>
      <c r="I363" s="1">
        <v>183200</v>
      </c>
      <c r="J363">
        <v>14</v>
      </c>
      <c r="K363" s="7">
        <f>Таблица1[[#This Row],[Штуки]]/SUMIFS(Таблица1[Штуки],Таблица1[Ветка],Таблица1[[#This Row],[Ветка]],Таблица1[Месяц],Таблица1[[#This Row],[Месяц]])</f>
        <v>0.12280701754385964</v>
      </c>
      <c r="L363" s="1">
        <v>2551597</v>
      </c>
      <c r="M363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0.14712623198759608</v>
      </c>
      <c r="N363" t="s">
        <v>23</v>
      </c>
      <c r="O363">
        <v>5</v>
      </c>
      <c r="P363">
        <v>5</v>
      </c>
      <c r="Q363">
        <v>6</v>
      </c>
      <c r="R363" t="s">
        <v>344</v>
      </c>
      <c r="S363">
        <v>103.3</v>
      </c>
      <c r="T363">
        <v>91</v>
      </c>
      <c r="U363">
        <v>62</v>
      </c>
      <c r="V363">
        <v>3</v>
      </c>
      <c r="W363">
        <v>-36</v>
      </c>
    </row>
    <row r="364" spans="1:23" x14ac:dyDescent="0.3">
      <c r="A364">
        <v>116903955</v>
      </c>
      <c r="B364" t="s">
        <v>343</v>
      </c>
      <c r="C364" t="s">
        <v>75</v>
      </c>
      <c r="D364" t="s">
        <v>30</v>
      </c>
      <c r="E364">
        <v>750</v>
      </c>
      <c r="F364" t="s">
        <v>357</v>
      </c>
      <c r="G364" t="s">
        <v>179</v>
      </c>
      <c r="H364" t="s">
        <v>283</v>
      </c>
      <c r="I364" s="1">
        <v>349990</v>
      </c>
      <c r="J364">
        <v>8</v>
      </c>
      <c r="K364" s="7">
        <f>Таблица1[[#This Row],[Штуки]]/SUMIFS(Таблица1[Штуки],Таблица1[Ветка],Таблица1[[#This Row],[Ветка]],Таблица1[Месяц],Таблица1[[#This Row],[Месяц]])</f>
        <v>4.8484848484848485E-2</v>
      </c>
      <c r="L364" s="1">
        <v>2540576</v>
      </c>
      <c r="M364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3.9861026386409905E-2</v>
      </c>
      <c r="N364" t="s">
        <v>23</v>
      </c>
      <c r="O364">
        <v>2</v>
      </c>
      <c r="P364">
        <v>4.9000000000000004</v>
      </c>
      <c r="Q364">
        <v>25</v>
      </c>
      <c r="R364" t="s">
        <v>342</v>
      </c>
      <c r="S364">
        <v>188</v>
      </c>
      <c r="T364">
        <v>95.2</v>
      </c>
      <c r="U364">
        <v>73.5</v>
      </c>
      <c r="V364">
        <v>1</v>
      </c>
      <c r="W364">
        <v>-18</v>
      </c>
    </row>
    <row r="365" spans="1:23" x14ac:dyDescent="0.3">
      <c r="A365">
        <v>120309401</v>
      </c>
      <c r="B365" t="s">
        <v>343</v>
      </c>
      <c r="C365" t="s">
        <v>79</v>
      </c>
      <c r="D365" t="s">
        <v>30</v>
      </c>
      <c r="E365">
        <v>550</v>
      </c>
      <c r="F365" t="s">
        <v>355</v>
      </c>
      <c r="G365" t="s">
        <v>179</v>
      </c>
      <c r="H365" t="s">
        <v>283</v>
      </c>
      <c r="I365" s="1">
        <v>299990</v>
      </c>
      <c r="J365">
        <v>9</v>
      </c>
      <c r="K365" s="7">
        <f>Таблица1[[#This Row],[Штуки]]/SUMIFS(Таблица1[Штуки],Таблица1[Ветка],Таблица1[[#This Row],[Ветка]],Таблица1[Месяц],Таблица1[[#This Row],[Месяц]])</f>
        <v>6.4748201438848921E-2</v>
      </c>
      <c r="L365" s="1">
        <v>2439993</v>
      </c>
      <c r="M365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6.5399956996724573E-2</v>
      </c>
      <c r="N365" t="s">
        <v>23</v>
      </c>
      <c r="O365">
        <v>1</v>
      </c>
      <c r="P365">
        <v>5</v>
      </c>
      <c r="Q365">
        <v>53</v>
      </c>
      <c r="R365" t="s">
        <v>344</v>
      </c>
      <c r="S365">
        <v>165</v>
      </c>
      <c r="T365">
        <v>83.5</v>
      </c>
      <c r="U365">
        <v>73</v>
      </c>
      <c r="V365">
        <v>2</v>
      </c>
      <c r="W365">
        <v>-18</v>
      </c>
    </row>
    <row r="366" spans="1:23" x14ac:dyDescent="0.3">
      <c r="A366">
        <v>102055246</v>
      </c>
      <c r="B366" t="s">
        <v>346</v>
      </c>
      <c r="C366" t="s">
        <v>61</v>
      </c>
      <c r="D366" t="s">
        <v>62</v>
      </c>
      <c r="E366">
        <v>700</v>
      </c>
      <c r="F366" t="s">
        <v>357</v>
      </c>
      <c r="G366" t="s">
        <v>179</v>
      </c>
      <c r="H366" t="s">
        <v>283</v>
      </c>
      <c r="I366" s="1">
        <v>626778</v>
      </c>
      <c r="J366">
        <v>4</v>
      </c>
      <c r="K366" s="7">
        <f>Таблица1[[#This Row],[Штуки]]/SUMIFS(Таблица1[Штуки],Таблица1[Ветка],Таблица1[[#This Row],[Ветка]],Таблица1[Месяц],Таблица1[[#This Row],[Месяц]])</f>
        <v>2.4242424242424242E-2</v>
      </c>
      <c r="L366" s="1">
        <v>2406200</v>
      </c>
      <c r="M366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3.775269926622133E-2</v>
      </c>
      <c r="N366" t="s">
        <v>23</v>
      </c>
      <c r="O366">
        <v>3</v>
      </c>
      <c r="P366">
        <v>5</v>
      </c>
      <c r="Q366">
        <v>6</v>
      </c>
      <c r="R366" t="s">
        <v>344</v>
      </c>
      <c r="S366">
        <v>73</v>
      </c>
      <c r="T366">
        <v>199</v>
      </c>
      <c r="U366">
        <v>96</v>
      </c>
      <c r="V366">
        <v>0</v>
      </c>
      <c r="W366">
        <v>-18</v>
      </c>
    </row>
    <row r="367" spans="1:23" x14ac:dyDescent="0.3">
      <c r="A367">
        <v>145109215</v>
      </c>
      <c r="B367" t="s">
        <v>341</v>
      </c>
      <c r="C367" t="s">
        <v>40</v>
      </c>
      <c r="D367" t="s">
        <v>287</v>
      </c>
      <c r="E367">
        <v>1240</v>
      </c>
      <c r="F367" t="s">
        <v>362</v>
      </c>
      <c r="G367" t="s">
        <v>186</v>
      </c>
      <c r="H367" t="s">
        <v>283</v>
      </c>
      <c r="I367" s="1">
        <v>560000</v>
      </c>
      <c r="J367">
        <v>4</v>
      </c>
      <c r="K367" s="7">
        <f>Таблица1[[#This Row],[Штуки]]/SUMIFS(Таблица1[Штуки],Таблица1[Ветка],Таблица1[[#This Row],[Ветка]],Таблица1[Месяц],Таблица1[[#This Row],[Месяц]])</f>
        <v>0.66666666666666663</v>
      </c>
      <c r="L367" s="1">
        <v>2054121</v>
      </c>
      <c r="M367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0.62449714827741365</v>
      </c>
      <c r="N367" t="s">
        <v>23</v>
      </c>
      <c r="O367">
        <v>3</v>
      </c>
      <c r="P367">
        <v>4.9000000000000004</v>
      </c>
      <c r="Q367">
        <v>4</v>
      </c>
      <c r="R367" t="s">
        <v>342</v>
      </c>
      <c r="S367">
        <v>250</v>
      </c>
      <c r="T367">
        <v>80</v>
      </c>
      <c r="U367">
        <v>76</v>
      </c>
      <c r="V367">
        <v>9</v>
      </c>
      <c r="W367">
        <v>-25</v>
      </c>
    </row>
    <row r="368" spans="1:23" x14ac:dyDescent="0.3">
      <c r="A368">
        <v>124037055</v>
      </c>
      <c r="B368" t="s">
        <v>341</v>
      </c>
      <c r="C368" t="s">
        <v>288</v>
      </c>
      <c r="D368" t="s">
        <v>46</v>
      </c>
      <c r="E368">
        <v>500</v>
      </c>
      <c r="F368" t="s">
        <v>355</v>
      </c>
      <c r="G368" t="s">
        <v>31</v>
      </c>
      <c r="H368" t="s">
        <v>283</v>
      </c>
      <c r="I368" s="1">
        <v>1890000</v>
      </c>
      <c r="J368">
        <v>1</v>
      </c>
      <c r="K368" s="7">
        <f>Таблица1[[#This Row],[Штуки]]/SUMIFS(Таблица1[Штуки],Таблица1[Ветка],Таблица1[[#This Row],[Ветка]],Таблица1[Месяц],Таблица1[[#This Row],[Месяц]])</f>
        <v>7.1942446043165471E-3</v>
      </c>
      <c r="L368" s="1">
        <v>1890000</v>
      </c>
      <c r="M368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5.0658308742610923E-2</v>
      </c>
      <c r="N368" t="s">
        <v>57</v>
      </c>
      <c r="O368">
        <v>1</v>
      </c>
      <c r="P368">
        <v>5</v>
      </c>
      <c r="Q368">
        <v>0</v>
      </c>
      <c r="R368" t="s">
        <v>342</v>
      </c>
      <c r="S368">
        <v>121</v>
      </c>
      <c r="T368">
        <v>137</v>
      </c>
      <c r="U368">
        <v>80</v>
      </c>
      <c r="V368">
        <v>0</v>
      </c>
      <c r="W368">
        <v>-28</v>
      </c>
    </row>
    <row r="369" spans="1:23" x14ac:dyDescent="0.3">
      <c r="A369">
        <v>141408862</v>
      </c>
      <c r="B369" t="s">
        <v>341</v>
      </c>
      <c r="C369" t="s">
        <v>59</v>
      </c>
      <c r="D369" t="s">
        <v>52</v>
      </c>
      <c r="E369">
        <v>600</v>
      </c>
      <c r="F369" t="s">
        <v>356</v>
      </c>
      <c r="G369" t="s">
        <v>177</v>
      </c>
      <c r="H369" t="s">
        <v>283</v>
      </c>
      <c r="I369" s="1">
        <v>371000</v>
      </c>
      <c r="J369">
        <v>5</v>
      </c>
      <c r="K369" s="7">
        <f>Таблица1[[#This Row],[Штуки]]/SUMIFS(Таблица1[Штуки],Таблица1[Ветка],Таблица1[[#This Row],[Ветка]],Таблица1[Месяц],Таблица1[[#This Row],[Месяц]])</f>
        <v>5.1546391752577317E-2</v>
      </c>
      <c r="L369" s="1">
        <v>1875426</v>
      </c>
      <c r="M369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8.074305658733702E-2</v>
      </c>
      <c r="N369" t="s">
        <v>57</v>
      </c>
      <c r="O369">
        <v>4</v>
      </c>
      <c r="P369">
        <v>5</v>
      </c>
      <c r="Q369">
        <v>5</v>
      </c>
      <c r="R369" t="s">
        <v>344</v>
      </c>
      <c r="S369">
        <v>165</v>
      </c>
      <c r="T369">
        <v>86</v>
      </c>
      <c r="U369">
        <v>76</v>
      </c>
      <c r="V369">
        <v>5</v>
      </c>
      <c r="W369">
        <v>-18</v>
      </c>
    </row>
    <row r="370" spans="1:23" x14ac:dyDescent="0.3">
      <c r="A370">
        <v>148807914</v>
      </c>
      <c r="B370" t="s">
        <v>341</v>
      </c>
      <c r="C370" t="s">
        <v>123</v>
      </c>
      <c r="D370" t="s">
        <v>74</v>
      </c>
      <c r="E370">
        <v>330</v>
      </c>
      <c r="F370" t="s">
        <v>353</v>
      </c>
      <c r="G370" t="s">
        <v>26</v>
      </c>
      <c r="H370" t="s">
        <v>283</v>
      </c>
      <c r="I370" s="1">
        <v>191900</v>
      </c>
      <c r="J370">
        <v>9</v>
      </c>
      <c r="K370" s="7">
        <f>Таблица1[[#This Row],[Штуки]]/SUMIFS(Таблица1[Штуки],Таблица1[Ветка],Таблица1[[#This Row],[Ветка]],Таблица1[Месяц],Таблица1[[#This Row],[Месяц]])</f>
        <v>7.6271186440677971E-2</v>
      </c>
      <c r="L370" s="1">
        <v>1737543</v>
      </c>
      <c r="M370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6.872088580710535E-2</v>
      </c>
      <c r="N370" t="s">
        <v>57</v>
      </c>
      <c r="O370">
        <v>6</v>
      </c>
      <c r="P370">
        <v>4.7</v>
      </c>
      <c r="Q370">
        <v>3</v>
      </c>
      <c r="R370" t="s">
        <v>342</v>
      </c>
      <c r="S370">
        <v>130</v>
      </c>
      <c r="T370">
        <v>89</v>
      </c>
      <c r="U370">
        <v>73.599999999999994</v>
      </c>
      <c r="V370">
        <v>5</v>
      </c>
      <c r="W370">
        <v>0</v>
      </c>
    </row>
    <row r="371" spans="1:23" x14ac:dyDescent="0.3">
      <c r="A371">
        <v>121279939</v>
      </c>
      <c r="B371" t="s">
        <v>341</v>
      </c>
      <c r="C371" t="s">
        <v>168</v>
      </c>
      <c r="D371" t="s">
        <v>35</v>
      </c>
      <c r="E371">
        <v>122</v>
      </c>
      <c r="F371" t="s">
        <v>351</v>
      </c>
      <c r="G371" t="s">
        <v>179</v>
      </c>
      <c r="H371" t="s">
        <v>283</v>
      </c>
      <c r="I371" s="1">
        <v>89900</v>
      </c>
      <c r="J371">
        <v>18</v>
      </c>
      <c r="K371" s="7">
        <f>Таблица1[[#This Row],[Штуки]]/SUMIFS(Таблица1[Штуки],Таблица1[Ветка],Таблица1[[#This Row],[Ветка]],Таблица1[Месяц],Таблица1[[#This Row],[Месяц]])</f>
        <v>0.22500000000000001</v>
      </c>
      <c r="L371" s="1">
        <v>1712335</v>
      </c>
      <c r="M371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5.6595651587460209E-2</v>
      </c>
      <c r="N371" t="s">
        <v>57</v>
      </c>
      <c r="O371">
        <v>2</v>
      </c>
      <c r="P371">
        <v>4.5999999999999996</v>
      </c>
      <c r="Q371">
        <v>7</v>
      </c>
      <c r="R371" t="s">
        <v>344</v>
      </c>
      <c r="S371">
        <v>66</v>
      </c>
      <c r="T371">
        <v>81</v>
      </c>
      <c r="U371">
        <v>48</v>
      </c>
      <c r="V371">
        <v>2</v>
      </c>
      <c r="W371">
        <v>-18</v>
      </c>
    </row>
    <row r="372" spans="1:23" x14ac:dyDescent="0.3">
      <c r="A372">
        <v>117503828</v>
      </c>
      <c r="B372" t="s">
        <v>341</v>
      </c>
      <c r="C372" t="s">
        <v>111</v>
      </c>
      <c r="D372" t="s">
        <v>44</v>
      </c>
      <c r="E372">
        <v>1000</v>
      </c>
      <c r="F372" t="s">
        <v>360</v>
      </c>
      <c r="G372" t="s">
        <v>31</v>
      </c>
      <c r="H372" t="s">
        <v>283</v>
      </c>
      <c r="I372" s="1">
        <v>499998</v>
      </c>
      <c r="J372">
        <v>3</v>
      </c>
      <c r="K372" s="7">
        <f>Таблица1[[#This Row],[Штуки]]/SUMIFS(Таблица1[Штуки],Таблица1[Ветка],Таблица1[[#This Row],[Ветка]],Таблица1[Месяц],Таблица1[[#This Row],[Месяц]])</f>
        <v>0.3</v>
      </c>
      <c r="L372" s="1">
        <v>1704024</v>
      </c>
      <c r="M372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0.33288786115333469</v>
      </c>
      <c r="N372" t="s">
        <v>23</v>
      </c>
      <c r="O372">
        <v>4</v>
      </c>
      <c r="P372">
        <v>4.9000000000000004</v>
      </c>
      <c r="Q372">
        <v>6</v>
      </c>
      <c r="R372" t="s">
        <v>345</v>
      </c>
      <c r="S372">
        <v>200</v>
      </c>
      <c r="T372">
        <v>85</v>
      </c>
      <c r="U372">
        <v>75</v>
      </c>
      <c r="V372">
        <v>9</v>
      </c>
      <c r="W372">
        <v>-18</v>
      </c>
    </row>
    <row r="373" spans="1:23" x14ac:dyDescent="0.3">
      <c r="A373">
        <v>142956771</v>
      </c>
      <c r="B373" t="s">
        <v>343</v>
      </c>
      <c r="C373" t="s">
        <v>191</v>
      </c>
      <c r="D373" t="s">
        <v>30</v>
      </c>
      <c r="E373">
        <v>718</v>
      </c>
      <c r="F373" t="s">
        <v>357</v>
      </c>
      <c r="G373" t="s">
        <v>179</v>
      </c>
      <c r="H373" t="s">
        <v>283</v>
      </c>
      <c r="I373" s="1">
        <v>399990</v>
      </c>
      <c r="J373">
        <v>4</v>
      </c>
      <c r="K373" s="7">
        <f>Таблица1[[#This Row],[Штуки]]/SUMIFS(Таблица1[Штуки],Таблица1[Ветка],Таблица1[[#This Row],[Ветка]],Таблица1[Месяц],Таблица1[[#This Row],[Месяц]])</f>
        <v>2.4242424242424242E-2</v>
      </c>
      <c r="L373" s="1">
        <v>1686482</v>
      </c>
      <c r="M373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2.6460496951165938E-2</v>
      </c>
      <c r="N373" t="s">
        <v>23</v>
      </c>
      <c r="O373">
        <v>2</v>
      </c>
      <c r="P373">
        <v>4.9000000000000004</v>
      </c>
      <c r="Q373">
        <v>11</v>
      </c>
      <c r="R373" t="s">
        <v>342</v>
      </c>
      <c r="S373">
        <v>197</v>
      </c>
      <c r="T373">
        <v>86.4</v>
      </c>
      <c r="U373">
        <v>93.5</v>
      </c>
      <c r="V373">
        <v>0</v>
      </c>
      <c r="W373">
        <v>-35</v>
      </c>
    </row>
    <row r="374" spans="1:23" x14ac:dyDescent="0.3">
      <c r="A374">
        <v>162695715</v>
      </c>
      <c r="B374" t="s">
        <v>343</v>
      </c>
      <c r="C374" t="s">
        <v>289</v>
      </c>
      <c r="D374" t="s">
        <v>104</v>
      </c>
      <c r="E374">
        <v>550</v>
      </c>
      <c r="F374" t="s">
        <v>355</v>
      </c>
      <c r="G374" t="s">
        <v>31</v>
      </c>
      <c r="H374" t="s">
        <v>283</v>
      </c>
      <c r="I374" s="1">
        <v>219980</v>
      </c>
      <c r="J374">
        <v>8</v>
      </c>
      <c r="K374" s="7">
        <f>Таблица1[[#This Row],[Штуки]]/SUMIFS(Таблица1[Штуки],Таблица1[Ветка],Таблица1[[#This Row],[Ветка]],Таблица1[Месяц],Таблица1[[#This Row],[Месяц]])</f>
        <v>5.7553956834532377E-2</v>
      </c>
      <c r="L374" s="1">
        <v>1686190</v>
      </c>
      <c r="M374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4.5195520433176248E-2</v>
      </c>
      <c r="N374" t="s">
        <v>23</v>
      </c>
      <c r="O374">
        <v>1</v>
      </c>
      <c r="P374">
        <v>5</v>
      </c>
      <c r="Q374">
        <v>0</v>
      </c>
      <c r="R374" t="s">
        <v>342</v>
      </c>
      <c r="S374">
        <v>153.5</v>
      </c>
      <c r="T374">
        <v>82.5</v>
      </c>
      <c r="U374">
        <v>74</v>
      </c>
      <c r="V374">
        <v>0</v>
      </c>
      <c r="W374">
        <v>-18</v>
      </c>
    </row>
    <row r="375" spans="1:23" x14ac:dyDescent="0.3">
      <c r="A375">
        <v>117232074</v>
      </c>
      <c r="B375" t="s">
        <v>341</v>
      </c>
      <c r="C375" t="s">
        <v>113</v>
      </c>
      <c r="D375" t="s">
        <v>25</v>
      </c>
      <c r="E375">
        <v>410</v>
      </c>
      <c r="F375" t="s">
        <v>354</v>
      </c>
      <c r="G375" t="s">
        <v>179</v>
      </c>
      <c r="H375" t="s">
        <v>283</v>
      </c>
      <c r="I375" s="1">
        <v>264385</v>
      </c>
      <c r="J375">
        <v>6</v>
      </c>
      <c r="K375" s="7">
        <f>Таблица1[[#This Row],[Штуки]]/SUMIFS(Таблица1[Штуки],Таблица1[Ветка],Таблица1[[#This Row],[Ветка]],Таблица1[Месяц],Таблица1[[#This Row],[Месяц]])</f>
        <v>0.19354838709677419</v>
      </c>
      <c r="L375" s="1">
        <v>1661369</v>
      </c>
      <c r="M375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0.21692390573727041</v>
      </c>
      <c r="N375" t="s">
        <v>23</v>
      </c>
      <c r="O375">
        <v>3</v>
      </c>
      <c r="P375">
        <v>5</v>
      </c>
      <c r="Q375">
        <v>55</v>
      </c>
      <c r="R375" t="s">
        <v>344</v>
      </c>
      <c r="S375">
        <v>132</v>
      </c>
      <c r="T375">
        <v>88.5</v>
      </c>
      <c r="U375">
        <v>66.5</v>
      </c>
      <c r="V375">
        <v>5</v>
      </c>
      <c r="W375">
        <v>-25</v>
      </c>
    </row>
    <row r="376" spans="1:23" x14ac:dyDescent="0.3">
      <c r="A376">
        <v>154651758</v>
      </c>
      <c r="B376" t="s">
        <v>343</v>
      </c>
      <c r="C376" t="s">
        <v>209</v>
      </c>
      <c r="D376" t="s">
        <v>38</v>
      </c>
      <c r="E376">
        <v>660</v>
      </c>
      <c r="F376" t="s">
        <v>356</v>
      </c>
      <c r="G376" t="s">
        <v>185</v>
      </c>
      <c r="H376" t="s">
        <v>283</v>
      </c>
      <c r="I376" s="1">
        <v>230990</v>
      </c>
      <c r="J376">
        <v>6</v>
      </c>
      <c r="K376" s="7">
        <f>Таблица1[[#This Row],[Штуки]]/SUMIFS(Таблица1[Штуки],Таблица1[Ветка],Таблица1[[#This Row],[Ветка]],Таблица1[Месяц],Таблица1[[#This Row],[Месяц]])</f>
        <v>6.1855670103092786E-2</v>
      </c>
      <c r="L376" s="1">
        <v>1508049</v>
      </c>
      <c r="M376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6.4926307806054198E-2</v>
      </c>
      <c r="N376" t="s">
        <v>23</v>
      </c>
      <c r="O376">
        <v>1</v>
      </c>
      <c r="P376">
        <v>5</v>
      </c>
      <c r="Q376">
        <v>5</v>
      </c>
      <c r="R376" t="s">
        <v>344</v>
      </c>
      <c r="S376">
        <v>180</v>
      </c>
      <c r="T376">
        <v>84</v>
      </c>
      <c r="U376">
        <v>67.400000000000006</v>
      </c>
      <c r="V376">
        <v>2</v>
      </c>
      <c r="W376">
        <v>-24</v>
      </c>
    </row>
    <row r="377" spans="1:23" x14ac:dyDescent="0.3">
      <c r="A377">
        <v>117689613</v>
      </c>
      <c r="B377" t="s">
        <v>341</v>
      </c>
      <c r="C377" t="s">
        <v>163</v>
      </c>
      <c r="D377" t="s">
        <v>25</v>
      </c>
      <c r="E377">
        <v>320</v>
      </c>
      <c r="F377" t="s">
        <v>353</v>
      </c>
      <c r="G377" t="s">
        <v>179</v>
      </c>
      <c r="H377" t="s">
        <v>283</v>
      </c>
      <c r="I377" s="1">
        <v>273877</v>
      </c>
      <c r="J377">
        <v>6</v>
      </c>
      <c r="K377" s="7">
        <f>Таблица1[[#This Row],[Штуки]]/SUMIFS(Таблица1[Штуки],Таблица1[Ветка],Таблица1[[#This Row],[Ветка]],Таблица1[Месяц],Таблица1[[#This Row],[Месяц]])</f>
        <v>5.0847457627118647E-2</v>
      </c>
      <c r="L377" s="1">
        <v>1478272</v>
      </c>
      <c r="M377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5.8466559563614386E-2</v>
      </c>
      <c r="N377" t="s">
        <v>23</v>
      </c>
      <c r="O377">
        <v>2</v>
      </c>
      <c r="P377">
        <v>4.8</v>
      </c>
      <c r="Q377">
        <v>16</v>
      </c>
      <c r="R377" t="s">
        <v>344</v>
      </c>
      <c r="S377">
        <v>108.5</v>
      </c>
      <c r="T377">
        <v>88.5</v>
      </c>
      <c r="U377">
        <v>66.5</v>
      </c>
      <c r="V377">
        <v>4</v>
      </c>
      <c r="W377">
        <v>-25</v>
      </c>
    </row>
    <row r="378" spans="1:23" x14ac:dyDescent="0.3">
      <c r="A378">
        <v>140081934</v>
      </c>
      <c r="B378" t="s">
        <v>341</v>
      </c>
      <c r="C378" t="s">
        <v>151</v>
      </c>
      <c r="D378" t="s">
        <v>91</v>
      </c>
      <c r="E378">
        <v>445</v>
      </c>
      <c r="F378" t="s">
        <v>354</v>
      </c>
      <c r="G378" t="s">
        <v>179</v>
      </c>
      <c r="H378" t="s">
        <v>283</v>
      </c>
      <c r="I378" s="1">
        <v>279999</v>
      </c>
      <c r="J378">
        <v>5</v>
      </c>
      <c r="K378" s="7">
        <f>Таблица1[[#This Row],[Штуки]]/SUMIFS(Таблица1[Штуки],Таблица1[Ветка],Таблица1[[#This Row],[Ветка]],Таблица1[Месяц],Таблица1[[#This Row],[Месяц]])</f>
        <v>0.16129032258064516</v>
      </c>
      <c r="L378" s="1">
        <v>1341172</v>
      </c>
      <c r="M378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0.17511598477247764</v>
      </c>
      <c r="N378" t="s">
        <v>23</v>
      </c>
      <c r="O378">
        <v>6</v>
      </c>
      <c r="P378">
        <v>5</v>
      </c>
      <c r="Q378">
        <v>3</v>
      </c>
      <c r="R378" t="s">
        <v>344</v>
      </c>
      <c r="S378">
        <v>153</v>
      </c>
      <c r="T378">
        <v>85</v>
      </c>
      <c r="U378">
        <v>68</v>
      </c>
      <c r="V378">
        <v>5</v>
      </c>
      <c r="W378">
        <v>-18</v>
      </c>
    </row>
    <row r="379" spans="1:23" x14ac:dyDescent="0.3">
      <c r="A379">
        <v>155757762</v>
      </c>
      <c r="B379" t="s">
        <v>341</v>
      </c>
      <c r="C379" t="s">
        <v>268</v>
      </c>
      <c r="D379" t="s">
        <v>133</v>
      </c>
      <c r="E379">
        <v>326</v>
      </c>
      <c r="F379" t="s">
        <v>353</v>
      </c>
      <c r="G379" t="s">
        <v>179</v>
      </c>
      <c r="H379" t="s">
        <v>283</v>
      </c>
      <c r="I379" s="1">
        <v>198000</v>
      </c>
      <c r="J379">
        <v>6</v>
      </c>
      <c r="K379" s="7">
        <f>Таблица1[[#This Row],[Штуки]]/SUMIFS(Таблица1[Штуки],Таблица1[Ветка],Таблица1[[#This Row],[Ветка]],Таблица1[Месяц],Таблица1[[#This Row],[Месяц]])</f>
        <v>5.0847457627118647E-2</v>
      </c>
      <c r="L379" s="1">
        <v>1310957</v>
      </c>
      <c r="M379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5.1849149226825125E-2</v>
      </c>
      <c r="N379" t="s">
        <v>57</v>
      </c>
      <c r="O379">
        <v>3</v>
      </c>
      <c r="P379">
        <v>5</v>
      </c>
      <c r="Q379">
        <v>0</v>
      </c>
      <c r="R379" t="s">
        <v>342</v>
      </c>
      <c r="S379">
        <v>125</v>
      </c>
      <c r="T379">
        <v>90</v>
      </c>
      <c r="U379">
        <v>60</v>
      </c>
      <c r="V379">
        <v>3</v>
      </c>
      <c r="W379">
        <v>-18</v>
      </c>
    </row>
    <row r="380" spans="1:23" x14ac:dyDescent="0.3">
      <c r="A380">
        <v>118087013</v>
      </c>
      <c r="B380" t="s">
        <v>341</v>
      </c>
      <c r="C380" t="s">
        <v>102</v>
      </c>
      <c r="D380" t="s">
        <v>25</v>
      </c>
      <c r="E380">
        <v>500</v>
      </c>
      <c r="F380" t="s">
        <v>355</v>
      </c>
      <c r="G380" t="s">
        <v>179</v>
      </c>
      <c r="H380" t="s">
        <v>283</v>
      </c>
      <c r="I380" s="1">
        <v>349700</v>
      </c>
      <c r="J380">
        <v>4</v>
      </c>
      <c r="K380" s="7">
        <f>Таблица1[[#This Row],[Штуки]]/SUMIFS(Таблица1[Штуки],Таблица1[Ветка],Таблица1[[#This Row],[Ветка]],Таблица1[Месяц],Таблица1[[#This Row],[Месяц]])</f>
        <v>2.8776978417266189E-2</v>
      </c>
      <c r="L380" s="1">
        <v>1266278</v>
      </c>
      <c r="M380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3.3940477184114221E-2</v>
      </c>
      <c r="N380" t="s">
        <v>23</v>
      </c>
      <c r="O380">
        <v>2</v>
      </c>
      <c r="P380">
        <v>5</v>
      </c>
      <c r="Q380">
        <v>13</v>
      </c>
      <c r="R380" t="s">
        <v>344</v>
      </c>
      <c r="S380">
        <v>155.5</v>
      </c>
      <c r="T380">
        <v>88.5</v>
      </c>
      <c r="U380">
        <v>66.5</v>
      </c>
      <c r="V380">
        <v>6</v>
      </c>
      <c r="W380">
        <v>-25</v>
      </c>
    </row>
    <row r="381" spans="1:23" x14ac:dyDescent="0.3">
      <c r="A381">
        <v>153608532</v>
      </c>
      <c r="B381" t="s">
        <v>343</v>
      </c>
      <c r="C381" t="s">
        <v>90</v>
      </c>
      <c r="D381" t="s">
        <v>91</v>
      </c>
      <c r="E381">
        <v>720</v>
      </c>
      <c r="F381" t="s">
        <v>357</v>
      </c>
      <c r="G381" t="s">
        <v>180</v>
      </c>
      <c r="H381" t="s">
        <v>283</v>
      </c>
      <c r="I381" s="1">
        <v>279900</v>
      </c>
      <c r="J381">
        <v>4</v>
      </c>
      <c r="K381" s="7">
        <f>Таблица1[[#This Row],[Штуки]]/SUMIFS(Таблица1[Штуки],Таблица1[Ветка],Таблица1[[#This Row],[Ветка]],Таблица1[Месяц],Таблица1[[#This Row],[Месяц]])</f>
        <v>2.4242424242424242E-2</v>
      </c>
      <c r="L381" s="1">
        <v>1187605</v>
      </c>
      <c r="M381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1.8633236809933E-2</v>
      </c>
      <c r="N381" t="s">
        <v>23</v>
      </c>
      <c r="O381">
        <v>1</v>
      </c>
      <c r="P381">
        <v>5</v>
      </c>
      <c r="Q381">
        <v>1</v>
      </c>
      <c r="R381" t="s">
        <v>342</v>
      </c>
      <c r="S381">
        <v>180</v>
      </c>
      <c r="T381">
        <v>80.599999999999994</v>
      </c>
      <c r="U381">
        <v>71</v>
      </c>
      <c r="V381">
        <v>0</v>
      </c>
      <c r="W381">
        <v>-18</v>
      </c>
    </row>
    <row r="382" spans="1:23" x14ac:dyDescent="0.3">
      <c r="A382">
        <v>117232021</v>
      </c>
      <c r="B382" t="s">
        <v>341</v>
      </c>
      <c r="C382" t="s">
        <v>60</v>
      </c>
      <c r="D382" t="s">
        <v>25</v>
      </c>
      <c r="E382">
        <v>230</v>
      </c>
      <c r="F382" t="s">
        <v>352</v>
      </c>
      <c r="G382" t="s">
        <v>179</v>
      </c>
      <c r="H382" t="s">
        <v>283</v>
      </c>
      <c r="I382" s="1">
        <v>202580</v>
      </c>
      <c r="J382">
        <v>6</v>
      </c>
      <c r="K382" s="7">
        <f>Таблица1[[#This Row],[Штуки]]/SUMIFS(Таблица1[Штуки],Таблица1[Ветка],Таблица1[[#This Row],[Ветка]],Таблица1[Месяц],Таблица1[[#This Row],[Месяц]])</f>
        <v>5.2631578947368418E-2</v>
      </c>
      <c r="L382" s="1">
        <v>1183560</v>
      </c>
      <c r="M382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6.8244602549399153E-2</v>
      </c>
      <c r="N382" t="s">
        <v>57</v>
      </c>
      <c r="O382">
        <v>5</v>
      </c>
      <c r="P382">
        <v>5</v>
      </c>
      <c r="Q382">
        <v>19</v>
      </c>
      <c r="R382" t="s">
        <v>344</v>
      </c>
      <c r="S382">
        <v>88</v>
      </c>
      <c r="T382">
        <v>88.5</v>
      </c>
      <c r="U382">
        <v>66.5</v>
      </c>
      <c r="V382">
        <v>3</v>
      </c>
      <c r="W382">
        <v>-25</v>
      </c>
    </row>
    <row r="383" spans="1:23" x14ac:dyDescent="0.3">
      <c r="A383">
        <v>153721974</v>
      </c>
      <c r="B383" t="s">
        <v>343</v>
      </c>
      <c r="C383" t="s">
        <v>162</v>
      </c>
      <c r="D383" t="s">
        <v>104</v>
      </c>
      <c r="E383">
        <v>600</v>
      </c>
      <c r="F383" t="s">
        <v>356</v>
      </c>
      <c r="G383" t="s">
        <v>179</v>
      </c>
      <c r="H383" t="s">
        <v>283</v>
      </c>
      <c r="I383" s="1">
        <v>231000</v>
      </c>
      <c r="J383">
        <v>5</v>
      </c>
      <c r="K383" s="7">
        <f>Таблица1[[#This Row],[Штуки]]/SUMIFS(Таблица1[Штуки],Таблица1[Ветка],Таблица1[[#This Row],[Ветка]],Таблица1[Месяц],Таблица1[[#This Row],[Месяц]])</f>
        <v>5.1546391752577317E-2</v>
      </c>
      <c r="L383" s="1">
        <v>1154980</v>
      </c>
      <c r="M383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4.9725563950399808E-2</v>
      </c>
      <c r="N383" t="s">
        <v>57</v>
      </c>
      <c r="O383">
        <v>3</v>
      </c>
      <c r="P383">
        <v>5</v>
      </c>
      <c r="Q383">
        <v>1</v>
      </c>
      <c r="R383" t="s">
        <v>342</v>
      </c>
      <c r="S383">
        <v>168.5</v>
      </c>
      <c r="T383">
        <v>82.5</v>
      </c>
      <c r="U383">
        <v>71</v>
      </c>
      <c r="V383">
        <v>0</v>
      </c>
      <c r="W383">
        <v>-18</v>
      </c>
    </row>
    <row r="384" spans="1:23" x14ac:dyDescent="0.3">
      <c r="A384">
        <v>165137985</v>
      </c>
      <c r="B384" t="s">
        <v>341</v>
      </c>
      <c r="C384" t="s">
        <v>290</v>
      </c>
      <c r="D384" t="s">
        <v>133</v>
      </c>
      <c r="E384">
        <v>246</v>
      </c>
      <c r="F384" t="s">
        <v>352</v>
      </c>
      <c r="G384" t="s">
        <v>26</v>
      </c>
      <c r="H384" t="s">
        <v>283</v>
      </c>
      <c r="I384" s="1">
        <v>185000</v>
      </c>
      <c r="J384">
        <v>6</v>
      </c>
      <c r="K384" s="7">
        <f>Таблица1[[#This Row],[Штуки]]/SUMIFS(Таблица1[Штуки],Таблица1[Ветка],Таблица1[[#This Row],[Ветка]],Таблица1[Месяц],Таблица1[[#This Row],[Месяц]])</f>
        <v>5.2631578947368418E-2</v>
      </c>
      <c r="L384" s="1">
        <v>1100000</v>
      </c>
      <c r="M384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6.3426495322872575E-2</v>
      </c>
      <c r="N384" t="s">
        <v>57</v>
      </c>
      <c r="O384">
        <v>1</v>
      </c>
      <c r="P384">
        <v>5</v>
      </c>
      <c r="Q384">
        <v>2</v>
      </c>
      <c r="R384" t="s">
        <v>342</v>
      </c>
      <c r="S384">
        <v>102</v>
      </c>
      <c r="T384">
        <v>92</v>
      </c>
      <c r="U384">
        <v>60</v>
      </c>
      <c r="V384">
        <v>3</v>
      </c>
      <c r="W384">
        <v>-22</v>
      </c>
    </row>
    <row r="385" spans="1:23" x14ac:dyDescent="0.3">
      <c r="A385">
        <v>150942040</v>
      </c>
      <c r="B385" t="s">
        <v>341</v>
      </c>
      <c r="C385" t="s">
        <v>291</v>
      </c>
      <c r="D385" t="s">
        <v>135</v>
      </c>
      <c r="E385">
        <v>618</v>
      </c>
      <c r="F385" t="s">
        <v>356</v>
      </c>
      <c r="G385" t="s">
        <v>31</v>
      </c>
      <c r="H385" t="s">
        <v>283</v>
      </c>
      <c r="I385" s="1">
        <v>1100000</v>
      </c>
      <c r="J385">
        <v>1</v>
      </c>
      <c r="K385" s="7">
        <f>Таблица1[[#This Row],[Штуки]]/SUMIFS(Таблица1[Штуки],Таблица1[Ветка],Таблица1[[#This Row],[Ветка]],Таблица1[Месяц],Таблица1[[#This Row],[Месяц]])</f>
        <v>1.0309278350515464E-2</v>
      </c>
      <c r="L385" s="1">
        <v>1100000</v>
      </c>
      <c r="M385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4.7358500013368013E-2</v>
      </c>
      <c r="N385" t="s">
        <v>57</v>
      </c>
      <c r="O385">
        <v>1</v>
      </c>
      <c r="P385">
        <v>0</v>
      </c>
      <c r="Q385">
        <v>0</v>
      </c>
      <c r="R385" t="s">
        <v>344</v>
      </c>
      <c r="S385">
        <v>179.5</v>
      </c>
      <c r="T385">
        <v>85</v>
      </c>
      <c r="U385">
        <v>76.5</v>
      </c>
      <c r="V385">
        <v>5</v>
      </c>
      <c r="W385">
        <v>-20</v>
      </c>
    </row>
    <row r="386" spans="1:23" x14ac:dyDescent="0.3">
      <c r="A386">
        <v>113954312</v>
      </c>
      <c r="B386" t="s">
        <v>343</v>
      </c>
      <c r="C386" t="s">
        <v>45</v>
      </c>
      <c r="D386" t="s">
        <v>46</v>
      </c>
      <c r="E386">
        <v>516</v>
      </c>
      <c r="F386" t="s">
        <v>355</v>
      </c>
      <c r="G386" t="s">
        <v>179</v>
      </c>
      <c r="H386" t="s">
        <v>283</v>
      </c>
      <c r="I386" s="1">
        <v>369990</v>
      </c>
      <c r="J386">
        <v>3</v>
      </c>
      <c r="K386" s="7">
        <f>Таблица1[[#This Row],[Штуки]]/SUMIFS(Таблица1[Штуки],Таблица1[Ветка],Таблица1[[#This Row],[Ветка]],Таблица1[Месяц],Таблица1[[#This Row],[Месяц]])</f>
        <v>2.1582733812949641E-2</v>
      </c>
      <c r="L386" s="1">
        <v>1087389</v>
      </c>
      <c r="M386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2.9145654859957116E-2</v>
      </c>
      <c r="N386" t="s">
        <v>23</v>
      </c>
      <c r="O386">
        <v>2</v>
      </c>
      <c r="P386">
        <v>5</v>
      </c>
      <c r="Q386">
        <v>36</v>
      </c>
      <c r="R386" t="s">
        <v>344</v>
      </c>
      <c r="S386">
        <v>165</v>
      </c>
      <c r="T386">
        <v>84.5</v>
      </c>
      <c r="U386">
        <v>74.5</v>
      </c>
      <c r="V386">
        <v>0</v>
      </c>
      <c r="W386">
        <v>-29</v>
      </c>
    </row>
    <row r="387" spans="1:23" x14ac:dyDescent="0.3">
      <c r="A387">
        <v>110833716</v>
      </c>
      <c r="B387" t="s">
        <v>346</v>
      </c>
      <c r="C387" t="s">
        <v>108</v>
      </c>
      <c r="D387" t="s">
        <v>62</v>
      </c>
      <c r="E387">
        <v>500</v>
      </c>
      <c r="F387" t="s">
        <v>355</v>
      </c>
      <c r="G387" t="s">
        <v>179</v>
      </c>
      <c r="H387" t="s">
        <v>283</v>
      </c>
      <c r="I387" s="1">
        <v>452196</v>
      </c>
      <c r="J387">
        <v>2</v>
      </c>
      <c r="K387" s="7">
        <f>Таблица1[[#This Row],[Штуки]]/SUMIFS(Таблица1[Штуки],Таблица1[Ветка],Таблица1[[#This Row],[Ветка]],Таблица1[Месяц],Таблица1[[#This Row],[Месяц]])</f>
        <v>1.4388489208633094E-2</v>
      </c>
      <c r="L387" s="1">
        <v>1016140</v>
      </c>
      <c r="M387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2.7235943833712521E-2</v>
      </c>
      <c r="N387" t="s">
        <v>23</v>
      </c>
      <c r="O387">
        <v>4</v>
      </c>
      <c r="P387">
        <v>5</v>
      </c>
      <c r="Q387">
        <v>4</v>
      </c>
      <c r="R387" t="s">
        <v>344</v>
      </c>
      <c r="S387">
        <v>69.7</v>
      </c>
      <c r="T387">
        <v>196</v>
      </c>
      <c r="U387">
        <v>69.5</v>
      </c>
      <c r="V387">
        <v>0</v>
      </c>
      <c r="W387">
        <v>-18</v>
      </c>
    </row>
    <row r="388" spans="1:23" x14ac:dyDescent="0.3">
      <c r="A388">
        <v>122074021</v>
      </c>
      <c r="B388" t="s">
        <v>341</v>
      </c>
      <c r="C388" t="s">
        <v>234</v>
      </c>
      <c r="D388" t="s">
        <v>52</v>
      </c>
      <c r="E388">
        <v>366</v>
      </c>
      <c r="F388" t="s">
        <v>353</v>
      </c>
      <c r="G388" t="s">
        <v>180</v>
      </c>
      <c r="H388" t="s">
        <v>283</v>
      </c>
      <c r="I388" s="1">
        <v>217800</v>
      </c>
      <c r="J388">
        <v>4</v>
      </c>
      <c r="K388" s="7">
        <f>Таблица1[[#This Row],[Штуки]]/SUMIFS(Таблица1[Штуки],Таблица1[Ветка],Таблица1[[#This Row],[Ветка]],Таблица1[Месяц],Таблица1[[#This Row],[Месяц]])</f>
        <v>3.3898305084745763E-2</v>
      </c>
      <c r="L388" s="1">
        <v>913832</v>
      </c>
      <c r="M388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3.6142613172093406E-2</v>
      </c>
      <c r="N388" t="s">
        <v>57</v>
      </c>
      <c r="O388">
        <v>4</v>
      </c>
      <c r="P388">
        <v>5</v>
      </c>
      <c r="Q388">
        <v>5</v>
      </c>
      <c r="R388" t="s">
        <v>342</v>
      </c>
      <c r="S388">
        <v>139</v>
      </c>
      <c r="T388">
        <v>100</v>
      </c>
      <c r="U388">
        <v>72</v>
      </c>
      <c r="V388">
        <v>4</v>
      </c>
      <c r="W388">
        <v>-18</v>
      </c>
    </row>
    <row r="389" spans="1:23" x14ac:dyDescent="0.3">
      <c r="A389">
        <v>155336923</v>
      </c>
      <c r="B389" t="s">
        <v>341</v>
      </c>
      <c r="C389" t="s">
        <v>271</v>
      </c>
      <c r="D389" t="s">
        <v>115</v>
      </c>
      <c r="E389">
        <v>900</v>
      </c>
      <c r="F389" t="s">
        <v>359</v>
      </c>
      <c r="G389" t="s">
        <v>183</v>
      </c>
      <c r="H389" t="s">
        <v>283</v>
      </c>
      <c r="I389" s="1">
        <v>450000</v>
      </c>
      <c r="J389">
        <v>2</v>
      </c>
      <c r="K389" s="7">
        <f>Таблица1[[#This Row],[Штуки]]/SUMIFS(Таблица1[Штуки],Таблица1[Ветка],Таблица1[[#This Row],[Ветка]],Таблица1[Месяц],Таблица1[[#This Row],[Месяц]])</f>
        <v>0.5</v>
      </c>
      <c r="L389" s="1">
        <v>900000</v>
      </c>
      <c r="M389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0.4848474400593884</v>
      </c>
      <c r="N389" t="s">
        <v>57</v>
      </c>
      <c r="O389">
        <v>1</v>
      </c>
      <c r="P389">
        <v>0</v>
      </c>
      <c r="Q389">
        <v>0</v>
      </c>
      <c r="R389" t="s">
        <v>342</v>
      </c>
      <c r="S389">
        <v>200</v>
      </c>
      <c r="T389">
        <v>85</v>
      </c>
      <c r="U389">
        <v>88</v>
      </c>
      <c r="V389">
        <v>7</v>
      </c>
      <c r="W389">
        <v>-26</v>
      </c>
    </row>
    <row r="390" spans="1:23" x14ac:dyDescent="0.3">
      <c r="A390">
        <v>102055230</v>
      </c>
      <c r="B390" t="s">
        <v>346</v>
      </c>
      <c r="C390" t="s">
        <v>292</v>
      </c>
      <c r="D390" t="s">
        <v>62</v>
      </c>
      <c r="E390">
        <v>1400</v>
      </c>
      <c r="F390" t="s">
        <v>364</v>
      </c>
      <c r="G390" t="s">
        <v>26</v>
      </c>
      <c r="H390" t="s">
        <v>283</v>
      </c>
      <c r="I390" s="1">
        <v>905240</v>
      </c>
      <c r="J390">
        <v>1</v>
      </c>
      <c r="K390" s="7">
        <f>Таблица1[[#This Row],[Штуки]]/SUMIFS(Таблица1[Штуки],Таблица1[Ветка],Таблица1[[#This Row],[Ветка]],Таблица1[Месяц],Таблица1[[#This Row],[Месяц]])</f>
        <v>1</v>
      </c>
      <c r="L390" s="1">
        <v>886902</v>
      </c>
      <c r="M390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1</v>
      </c>
      <c r="N390" t="s">
        <v>57</v>
      </c>
      <c r="O390">
        <v>3</v>
      </c>
      <c r="P390">
        <v>5</v>
      </c>
      <c r="Q390">
        <v>2</v>
      </c>
      <c r="R390" t="s">
        <v>345</v>
      </c>
      <c r="S390">
        <v>147</v>
      </c>
      <c r="T390">
        <v>199</v>
      </c>
      <c r="U390">
        <v>88.4</v>
      </c>
      <c r="V390">
        <v>0</v>
      </c>
      <c r="W390">
        <v>-18</v>
      </c>
    </row>
    <row r="391" spans="1:23" x14ac:dyDescent="0.3">
      <c r="A391">
        <v>156640750</v>
      </c>
      <c r="B391" t="s">
        <v>341</v>
      </c>
      <c r="C391" t="s">
        <v>194</v>
      </c>
      <c r="D391" t="s">
        <v>165</v>
      </c>
      <c r="E391">
        <v>338</v>
      </c>
      <c r="F391" t="s">
        <v>353</v>
      </c>
      <c r="G391" t="s">
        <v>195</v>
      </c>
      <c r="H391" t="s">
        <v>283</v>
      </c>
      <c r="I391" s="1">
        <v>224000</v>
      </c>
      <c r="J391">
        <v>4</v>
      </c>
      <c r="K391" s="7">
        <f>Таблица1[[#This Row],[Штуки]]/SUMIFS(Таблица1[Штуки],Таблица1[Ветка],Таблица1[[#This Row],[Ветка]],Таблица1[Месяц],Таблица1[[#This Row],[Месяц]])</f>
        <v>3.3898305084745763E-2</v>
      </c>
      <c r="L391" s="1">
        <v>875000</v>
      </c>
      <c r="M391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3.4606783878854901E-2</v>
      </c>
      <c r="N391" t="s">
        <v>23</v>
      </c>
      <c r="O391">
        <v>2</v>
      </c>
      <c r="P391">
        <v>5</v>
      </c>
      <c r="Q391">
        <v>8</v>
      </c>
      <c r="R391" t="s">
        <v>344</v>
      </c>
      <c r="S391">
        <v>128</v>
      </c>
      <c r="T391">
        <v>83</v>
      </c>
      <c r="U391">
        <v>60</v>
      </c>
      <c r="V391">
        <v>5</v>
      </c>
      <c r="W391">
        <v>-24</v>
      </c>
    </row>
    <row r="392" spans="1:23" x14ac:dyDescent="0.3">
      <c r="A392">
        <v>165138042</v>
      </c>
      <c r="B392" t="s">
        <v>341</v>
      </c>
      <c r="C392" t="s">
        <v>293</v>
      </c>
      <c r="D392" t="s">
        <v>133</v>
      </c>
      <c r="E392">
        <v>208</v>
      </c>
      <c r="F392" t="s">
        <v>352</v>
      </c>
      <c r="G392" t="s">
        <v>26</v>
      </c>
      <c r="H392" t="s">
        <v>283</v>
      </c>
      <c r="I392" s="1">
        <v>175000</v>
      </c>
      <c r="J392">
        <v>5</v>
      </c>
      <c r="K392" s="7">
        <f>Таблица1[[#This Row],[Штуки]]/SUMIFS(Таблица1[Штуки],Таблица1[Ветка],Таблица1[[#This Row],[Ветка]],Таблица1[Месяц],Таблица1[[#This Row],[Месяц]])</f>
        <v>4.3859649122807015E-2</v>
      </c>
      <c r="L392" s="1">
        <v>847712</v>
      </c>
      <c r="M392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4.8879455639220866E-2</v>
      </c>
      <c r="N392" t="s">
        <v>57</v>
      </c>
      <c r="O392">
        <v>1</v>
      </c>
      <c r="P392">
        <v>0</v>
      </c>
      <c r="Q392">
        <v>0</v>
      </c>
      <c r="R392" t="s">
        <v>342</v>
      </c>
      <c r="S392">
        <v>88</v>
      </c>
      <c r="T392">
        <v>92</v>
      </c>
      <c r="U392">
        <v>60</v>
      </c>
      <c r="V392">
        <v>2</v>
      </c>
      <c r="W392">
        <v>-22</v>
      </c>
    </row>
    <row r="393" spans="1:23" x14ac:dyDescent="0.3">
      <c r="A393">
        <v>149362714</v>
      </c>
      <c r="B393" t="s">
        <v>341</v>
      </c>
      <c r="C393" t="s">
        <v>226</v>
      </c>
      <c r="D393" t="s">
        <v>84</v>
      </c>
      <c r="E393">
        <v>613</v>
      </c>
      <c r="F393" t="s">
        <v>356</v>
      </c>
      <c r="G393" t="s">
        <v>180</v>
      </c>
      <c r="H393" t="s">
        <v>283</v>
      </c>
      <c r="I393" s="1">
        <v>405000</v>
      </c>
      <c r="J393">
        <v>2</v>
      </c>
      <c r="K393" s="7">
        <f>Таблица1[[#This Row],[Штуки]]/SUMIFS(Таблица1[Штуки],Таблица1[Ветка],Таблица1[[#This Row],[Ветка]],Таблица1[Месяц],Таблица1[[#This Row],[Месяц]])</f>
        <v>2.0618556701030927E-2</v>
      </c>
      <c r="L393" s="1">
        <v>843294</v>
      </c>
      <c r="M393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3.6306489918430149E-2</v>
      </c>
      <c r="N393" t="s">
        <v>23</v>
      </c>
      <c r="O393">
        <v>1</v>
      </c>
      <c r="P393">
        <v>5</v>
      </c>
      <c r="Q393">
        <v>3</v>
      </c>
      <c r="R393" t="s">
        <v>342</v>
      </c>
      <c r="S393">
        <v>180</v>
      </c>
      <c r="T393">
        <v>86</v>
      </c>
      <c r="U393">
        <v>76</v>
      </c>
      <c r="V393">
        <v>7</v>
      </c>
      <c r="W393">
        <v>-22</v>
      </c>
    </row>
    <row r="394" spans="1:23" x14ac:dyDescent="0.3">
      <c r="A394">
        <v>140700154</v>
      </c>
      <c r="B394" t="s">
        <v>341</v>
      </c>
      <c r="C394" t="s">
        <v>208</v>
      </c>
      <c r="D394" t="s">
        <v>165</v>
      </c>
      <c r="E394">
        <v>338</v>
      </c>
      <c r="F394" t="s">
        <v>353</v>
      </c>
      <c r="G394" t="s">
        <v>180</v>
      </c>
      <c r="H394" t="s">
        <v>283</v>
      </c>
      <c r="I394" s="1">
        <v>219900</v>
      </c>
      <c r="J394">
        <v>4</v>
      </c>
      <c r="K394" s="7">
        <f>Таблица1[[#This Row],[Штуки]]/SUMIFS(Таблица1[Штуки],Таблица1[Ветка],Таблица1[[#This Row],[Ветка]],Таблица1[Месяц],Таблица1[[#This Row],[Месяц]])</f>
        <v>3.3898305084745763E-2</v>
      </c>
      <c r="L394" s="1">
        <v>821000</v>
      </c>
      <c r="M394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3.247105093090271E-2</v>
      </c>
      <c r="N394" t="s">
        <v>23</v>
      </c>
      <c r="O394">
        <v>2</v>
      </c>
      <c r="P394">
        <v>5</v>
      </c>
      <c r="Q394">
        <v>27</v>
      </c>
      <c r="R394" t="s">
        <v>344</v>
      </c>
      <c r="S394">
        <v>130</v>
      </c>
      <c r="T394">
        <v>86</v>
      </c>
      <c r="U394">
        <v>65</v>
      </c>
      <c r="V394">
        <v>5</v>
      </c>
      <c r="W394">
        <v>-25</v>
      </c>
    </row>
    <row r="395" spans="1:23" x14ac:dyDescent="0.3">
      <c r="A395">
        <v>117503807</v>
      </c>
      <c r="B395" t="s">
        <v>341</v>
      </c>
      <c r="C395" t="s">
        <v>43</v>
      </c>
      <c r="D395" t="s">
        <v>44</v>
      </c>
      <c r="E395">
        <v>700</v>
      </c>
      <c r="F395" t="s">
        <v>357</v>
      </c>
      <c r="G395" t="s">
        <v>180</v>
      </c>
      <c r="H395" t="s">
        <v>283</v>
      </c>
      <c r="I395" s="1">
        <v>390379</v>
      </c>
      <c r="J395">
        <v>2</v>
      </c>
      <c r="K395" s="7">
        <f>Таблица1[[#This Row],[Штуки]]/SUMIFS(Таблица1[Штуки],Таблица1[Ветка],Таблица1[[#This Row],[Ветка]],Таблица1[Месяц],Таблица1[[#This Row],[Месяц]])</f>
        <v>1.2121212121212121E-2</v>
      </c>
      <c r="L395" s="1">
        <v>777301</v>
      </c>
      <c r="M395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1.2195665735322544E-2</v>
      </c>
      <c r="N395" t="s">
        <v>23</v>
      </c>
      <c r="O395">
        <v>2</v>
      </c>
      <c r="P395">
        <v>4.9000000000000004</v>
      </c>
      <c r="Q395">
        <v>8</v>
      </c>
      <c r="R395" t="s">
        <v>345</v>
      </c>
      <c r="S395">
        <v>200</v>
      </c>
      <c r="T395">
        <v>85</v>
      </c>
      <c r="U395">
        <v>75</v>
      </c>
      <c r="V395">
        <v>7</v>
      </c>
      <c r="W395">
        <v>-24</v>
      </c>
    </row>
    <row r="396" spans="1:23" x14ac:dyDescent="0.3">
      <c r="A396">
        <v>142298659</v>
      </c>
      <c r="B396" t="s">
        <v>341</v>
      </c>
      <c r="C396" t="s">
        <v>227</v>
      </c>
      <c r="D396" t="s">
        <v>115</v>
      </c>
      <c r="E396">
        <v>700</v>
      </c>
      <c r="F396" t="s">
        <v>357</v>
      </c>
      <c r="G396" t="s">
        <v>180</v>
      </c>
      <c r="H396" t="s">
        <v>283</v>
      </c>
      <c r="I396" s="1">
        <v>380953</v>
      </c>
      <c r="J396">
        <v>2</v>
      </c>
      <c r="K396" s="7">
        <f>Таблица1[[#This Row],[Штуки]]/SUMIFS(Таблица1[Штуки],Таблица1[Ветка],Таблица1[[#This Row],[Ветка]],Таблица1[Месяц],Таблица1[[#This Row],[Месяц]])</f>
        <v>1.2121212121212121E-2</v>
      </c>
      <c r="L396" s="1">
        <v>763220</v>
      </c>
      <c r="M396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1.1974738232052798E-2</v>
      </c>
      <c r="N396" t="s">
        <v>57</v>
      </c>
      <c r="O396">
        <v>1</v>
      </c>
      <c r="P396">
        <v>5</v>
      </c>
      <c r="Q396">
        <v>0</v>
      </c>
      <c r="R396" t="s">
        <v>342</v>
      </c>
      <c r="S396">
        <v>200</v>
      </c>
      <c r="T396">
        <v>80</v>
      </c>
      <c r="U396">
        <v>76</v>
      </c>
      <c r="V396">
        <v>7</v>
      </c>
      <c r="W396">
        <v>-24</v>
      </c>
    </row>
    <row r="397" spans="1:23" x14ac:dyDescent="0.3">
      <c r="A397">
        <v>116138932</v>
      </c>
      <c r="B397" t="s">
        <v>341</v>
      </c>
      <c r="C397" t="s">
        <v>164</v>
      </c>
      <c r="D397" t="s">
        <v>165</v>
      </c>
      <c r="E397">
        <v>338</v>
      </c>
      <c r="F397" t="s">
        <v>353</v>
      </c>
      <c r="G397" t="s">
        <v>185</v>
      </c>
      <c r="H397" t="s">
        <v>283</v>
      </c>
      <c r="I397" s="1">
        <v>219900</v>
      </c>
      <c r="J397">
        <v>3</v>
      </c>
      <c r="K397" s="7">
        <f>Таблица1[[#This Row],[Штуки]]/SUMIFS(Таблица1[Штуки],Таблица1[Ветка],Таблица1[[#This Row],[Ветка]],Таблица1[Месяц],Таблица1[[#This Row],[Месяц]])</f>
        <v>2.5423728813559324E-2</v>
      </c>
      <c r="L397" s="1">
        <v>753613</v>
      </c>
      <c r="M397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2.9805853964909118E-2</v>
      </c>
      <c r="N397" t="s">
        <v>23</v>
      </c>
      <c r="O397">
        <v>2</v>
      </c>
      <c r="P397">
        <v>4.9000000000000004</v>
      </c>
      <c r="Q397">
        <v>83</v>
      </c>
      <c r="R397" t="s">
        <v>344</v>
      </c>
      <c r="S397">
        <v>130</v>
      </c>
      <c r="T397">
        <v>85</v>
      </c>
      <c r="U397">
        <v>65</v>
      </c>
      <c r="V397">
        <v>5</v>
      </c>
      <c r="W397">
        <v>-24</v>
      </c>
    </row>
    <row r="398" spans="1:23" x14ac:dyDescent="0.3">
      <c r="A398">
        <v>122939001</v>
      </c>
      <c r="B398" t="s">
        <v>341</v>
      </c>
      <c r="C398" t="s">
        <v>212</v>
      </c>
      <c r="D398" t="s">
        <v>25</v>
      </c>
      <c r="E398">
        <v>590</v>
      </c>
      <c r="F398" t="s">
        <v>355</v>
      </c>
      <c r="G398" t="s">
        <v>179</v>
      </c>
      <c r="H398" t="s">
        <v>283</v>
      </c>
      <c r="I398" s="1">
        <v>385997</v>
      </c>
      <c r="J398">
        <v>2</v>
      </c>
      <c r="K398" s="7">
        <f>Таблица1[[#This Row],[Штуки]]/SUMIFS(Таблица1[Штуки],Таблица1[Ветка],Таблица1[[#This Row],[Ветка]],Таблица1[Месяц],Таблица1[[#This Row],[Месяц]])</f>
        <v>1.4388489208633094E-2</v>
      </c>
      <c r="L398" s="1">
        <v>717854</v>
      </c>
      <c r="M398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1.9240883367258318E-2</v>
      </c>
      <c r="N398" t="s">
        <v>23</v>
      </c>
      <c r="O398">
        <v>2</v>
      </c>
      <c r="P398">
        <v>5</v>
      </c>
      <c r="Q398">
        <v>10</v>
      </c>
      <c r="R398" t="s">
        <v>344</v>
      </c>
      <c r="S398">
        <v>179</v>
      </c>
      <c r="T398">
        <v>88.5</v>
      </c>
      <c r="U398">
        <v>66.5</v>
      </c>
      <c r="V398">
        <v>5</v>
      </c>
      <c r="W398">
        <v>-25</v>
      </c>
    </row>
    <row r="399" spans="1:23" x14ac:dyDescent="0.3">
      <c r="A399">
        <v>159645113</v>
      </c>
      <c r="B399" t="s">
        <v>346</v>
      </c>
      <c r="C399" t="s">
        <v>248</v>
      </c>
      <c r="D399" t="s">
        <v>249</v>
      </c>
      <c r="E399">
        <v>1200</v>
      </c>
      <c r="F399" t="s">
        <v>362</v>
      </c>
      <c r="G399" t="s">
        <v>180</v>
      </c>
      <c r="H399" t="s">
        <v>283</v>
      </c>
      <c r="I399" s="1">
        <v>588990</v>
      </c>
      <c r="J399">
        <v>1</v>
      </c>
      <c r="K399" s="7">
        <f>Таблица1[[#This Row],[Штуки]]/SUMIFS(Таблица1[Штуки],Таблица1[Ветка],Таблица1[[#This Row],[Ветка]],Таблица1[Месяц],Таблица1[[#This Row],[Месяц]])</f>
        <v>0.16666666666666666</v>
      </c>
      <c r="L399" s="1">
        <v>715119</v>
      </c>
      <c r="M399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0.21741162092155028</v>
      </c>
      <c r="N399" t="s">
        <v>57</v>
      </c>
      <c r="O399">
        <v>1</v>
      </c>
      <c r="P399">
        <v>5</v>
      </c>
      <c r="Q399">
        <v>1</v>
      </c>
      <c r="R399" t="s">
        <v>344</v>
      </c>
      <c r="S399">
        <v>120</v>
      </c>
      <c r="T399">
        <v>196</v>
      </c>
      <c r="U399">
        <v>76</v>
      </c>
      <c r="V399">
        <v>0</v>
      </c>
      <c r="W399">
        <v>-15</v>
      </c>
    </row>
    <row r="400" spans="1:23" x14ac:dyDescent="0.3">
      <c r="A400">
        <v>140308862</v>
      </c>
      <c r="B400" t="s">
        <v>341</v>
      </c>
      <c r="C400" t="s">
        <v>166</v>
      </c>
      <c r="D400" t="s">
        <v>91</v>
      </c>
      <c r="E400">
        <v>420</v>
      </c>
      <c r="F400" t="s">
        <v>354</v>
      </c>
      <c r="G400" t="s">
        <v>179</v>
      </c>
      <c r="H400" t="s">
        <v>283</v>
      </c>
      <c r="I400" s="1">
        <v>224000</v>
      </c>
      <c r="J400">
        <v>3</v>
      </c>
      <c r="K400" s="7">
        <f>Таблица1[[#This Row],[Штуки]]/SUMIFS(Таблица1[Штуки],Таблица1[Ветка],Таблица1[[#This Row],[Ветка]],Таблица1[Месяц],Таблица1[[#This Row],[Месяц]])</f>
        <v>9.6774193548387094E-2</v>
      </c>
      <c r="L400" s="1">
        <v>710700</v>
      </c>
      <c r="M400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9.2795652144393018E-2</v>
      </c>
      <c r="N400" t="s">
        <v>23</v>
      </c>
      <c r="O400">
        <v>3</v>
      </c>
      <c r="P400">
        <v>5</v>
      </c>
      <c r="Q400">
        <v>10</v>
      </c>
      <c r="R400" t="s">
        <v>342</v>
      </c>
      <c r="S400">
        <v>131</v>
      </c>
      <c r="T400">
        <v>83</v>
      </c>
      <c r="U400">
        <v>69</v>
      </c>
      <c r="V400">
        <v>6</v>
      </c>
      <c r="W400">
        <v>-18</v>
      </c>
    </row>
    <row r="401" spans="1:23" x14ac:dyDescent="0.3">
      <c r="A401">
        <v>133958993</v>
      </c>
      <c r="B401" t="s">
        <v>341</v>
      </c>
      <c r="C401" t="s">
        <v>238</v>
      </c>
      <c r="D401" t="s">
        <v>46</v>
      </c>
      <c r="E401">
        <v>800</v>
      </c>
      <c r="F401" t="s">
        <v>358</v>
      </c>
      <c r="G401" t="s">
        <v>180</v>
      </c>
      <c r="H401" t="s">
        <v>283</v>
      </c>
      <c r="I401" s="1">
        <v>693240</v>
      </c>
      <c r="J401">
        <v>1</v>
      </c>
      <c r="K401" s="7">
        <f>Таблица1[[#This Row],[Штуки]]/SUMIFS(Таблица1[Штуки],Таблица1[Ветка],Таблица1[[#This Row],[Ветка]],Таблица1[Месяц],Таблица1[[#This Row],[Месяц]])</f>
        <v>9.0909090909090912E-2</v>
      </c>
      <c r="L401" s="1">
        <v>693240</v>
      </c>
      <c r="M401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0.13251557665895361</v>
      </c>
      <c r="N401" t="s">
        <v>23</v>
      </c>
      <c r="O401">
        <v>2</v>
      </c>
      <c r="P401">
        <v>5</v>
      </c>
      <c r="Q401">
        <v>0</v>
      </c>
      <c r="R401" t="s">
        <v>345</v>
      </c>
      <c r="S401">
        <v>250</v>
      </c>
      <c r="T401">
        <v>81</v>
      </c>
      <c r="U401">
        <v>86</v>
      </c>
      <c r="V401">
        <v>0</v>
      </c>
      <c r="W401">
        <v>0</v>
      </c>
    </row>
    <row r="402" spans="1:23" x14ac:dyDescent="0.3">
      <c r="A402">
        <v>137737167</v>
      </c>
      <c r="B402" t="s">
        <v>343</v>
      </c>
      <c r="C402" t="s">
        <v>294</v>
      </c>
      <c r="D402" t="s">
        <v>50</v>
      </c>
      <c r="E402">
        <v>538</v>
      </c>
      <c r="F402" t="s">
        <v>355</v>
      </c>
      <c r="G402" t="s">
        <v>26</v>
      </c>
      <c r="H402" t="s">
        <v>283</v>
      </c>
      <c r="I402" s="1">
        <v>349990</v>
      </c>
      <c r="J402">
        <v>2</v>
      </c>
      <c r="K402" s="7">
        <f>Таблица1[[#This Row],[Штуки]]/SUMIFS(Таблица1[Штуки],Таблица1[Ветка],Таблица1[[#This Row],[Ветка]],Таблица1[Месяц],Таблица1[[#This Row],[Месяц]])</f>
        <v>1.4388489208633094E-2</v>
      </c>
      <c r="L402" s="1">
        <v>679490</v>
      </c>
      <c r="M402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1.8212600109797195E-2</v>
      </c>
      <c r="N402" t="s">
        <v>96</v>
      </c>
      <c r="O402">
        <v>1</v>
      </c>
      <c r="P402">
        <v>5</v>
      </c>
      <c r="Q402">
        <v>0</v>
      </c>
      <c r="R402" t="s">
        <v>344</v>
      </c>
      <c r="S402">
        <v>174</v>
      </c>
      <c r="T402">
        <v>89</v>
      </c>
      <c r="U402">
        <v>66</v>
      </c>
      <c r="V402">
        <v>1</v>
      </c>
      <c r="W402">
        <v>-18</v>
      </c>
    </row>
    <row r="403" spans="1:23" x14ac:dyDescent="0.3">
      <c r="A403">
        <v>113146979</v>
      </c>
      <c r="B403" t="s">
        <v>343</v>
      </c>
      <c r="C403" t="s">
        <v>246</v>
      </c>
      <c r="D403" t="s">
        <v>247</v>
      </c>
      <c r="E403">
        <v>500</v>
      </c>
      <c r="F403" t="s">
        <v>355</v>
      </c>
      <c r="G403" t="s">
        <v>179</v>
      </c>
      <c r="H403" t="s">
        <v>283</v>
      </c>
      <c r="I403" s="1">
        <v>309990</v>
      </c>
      <c r="J403">
        <v>2</v>
      </c>
      <c r="K403" s="7">
        <f>Таблица1[[#This Row],[Штуки]]/SUMIFS(Таблица1[Штуки],Таблица1[Ветка],Таблица1[[#This Row],[Ветка]],Таблица1[Месяц],Таблица1[[#This Row],[Месяц]])</f>
        <v>1.4388489208633094E-2</v>
      </c>
      <c r="L403" s="1">
        <v>662661</v>
      </c>
      <c r="M403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1.7761526735284285E-2</v>
      </c>
      <c r="N403" t="s">
        <v>57</v>
      </c>
      <c r="O403">
        <v>1</v>
      </c>
      <c r="P403">
        <v>5</v>
      </c>
      <c r="Q403">
        <v>14</v>
      </c>
      <c r="R403" t="s">
        <v>344</v>
      </c>
      <c r="S403">
        <v>170.2</v>
      </c>
      <c r="T403">
        <v>84.2</v>
      </c>
      <c r="U403">
        <v>70.900000000000006</v>
      </c>
      <c r="V403">
        <v>0</v>
      </c>
      <c r="W403">
        <v>0</v>
      </c>
    </row>
    <row r="404" spans="1:23" x14ac:dyDescent="0.3">
      <c r="A404">
        <v>116988507</v>
      </c>
      <c r="B404" t="s">
        <v>343</v>
      </c>
      <c r="C404" t="s">
        <v>149</v>
      </c>
      <c r="D404" t="s">
        <v>46</v>
      </c>
      <c r="E404">
        <v>516</v>
      </c>
      <c r="F404" t="s">
        <v>355</v>
      </c>
      <c r="G404" t="s">
        <v>26</v>
      </c>
      <c r="H404" t="s">
        <v>283</v>
      </c>
      <c r="I404" s="1">
        <v>330826</v>
      </c>
      <c r="J404">
        <v>2</v>
      </c>
      <c r="K404" s="7">
        <f>Таблица1[[#This Row],[Штуки]]/SUMIFS(Таблица1[Штуки],Таблица1[Ветка],Таблица1[[#This Row],[Ветка]],Таблица1[Месяц],Таблица1[[#This Row],[Месяц]])</f>
        <v>1.4388489208633094E-2</v>
      </c>
      <c r="L404" s="1">
        <v>661652</v>
      </c>
      <c r="M404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1.7734482167283599E-2</v>
      </c>
      <c r="N404" t="s">
        <v>57</v>
      </c>
      <c r="O404">
        <v>2</v>
      </c>
      <c r="P404">
        <v>5</v>
      </c>
      <c r="Q404">
        <v>5</v>
      </c>
      <c r="R404" t="s">
        <v>344</v>
      </c>
      <c r="S404">
        <v>164</v>
      </c>
      <c r="T404">
        <v>84.5</v>
      </c>
      <c r="U404">
        <v>74.5</v>
      </c>
      <c r="V404">
        <v>0</v>
      </c>
      <c r="W404">
        <v>-29</v>
      </c>
    </row>
    <row r="405" spans="1:23" x14ac:dyDescent="0.3">
      <c r="A405">
        <v>166409350</v>
      </c>
      <c r="B405" t="s">
        <v>341</v>
      </c>
      <c r="C405" t="s">
        <v>295</v>
      </c>
      <c r="D405" t="s">
        <v>84</v>
      </c>
      <c r="E405">
        <v>588</v>
      </c>
      <c r="F405" t="s">
        <v>355</v>
      </c>
      <c r="G405" t="s">
        <v>31</v>
      </c>
      <c r="H405" t="s">
        <v>283</v>
      </c>
      <c r="I405" s="1">
        <v>329000</v>
      </c>
      <c r="J405">
        <v>2</v>
      </c>
      <c r="K405" s="7">
        <f>Таблица1[[#This Row],[Штуки]]/SUMIFS(Таблица1[Штуки],Таблица1[Ветка],Таблица1[[#This Row],[Ветка]],Таблица1[Месяц],Таблица1[[#This Row],[Месяц]])</f>
        <v>1.4388489208633094E-2</v>
      </c>
      <c r="L405" s="1">
        <v>658000</v>
      </c>
      <c r="M405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1.7636596377057136E-2</v>
      </c>
      <c r="N405" t="s">
        <v>96</v>
      </c>
      <c r="O405">
        <v>1</v>
      </c>
      <c r="P405">
        <v>0</v>
      </c>
      <c r="Q405">
        <v>0</v>
      </c>
      <c r="R405" t="s">
        <v>342</v>
      </c>
      <c r="S405">
        <v>150</v>
      </c>
      <c r="T405">
        <v>88</v>
      </c>
      <c r="U405">
        <v>80</v>
      </c>
      <c r="V405">
        <v>5</v>
      </c>
      <c r="W405">
        <v>-18</v>
      </c>
    </row>
    <row r="406" spans="1:23" x14ac:dyDescent="0.3">
      <c r="A406">
        <v>132115831</v>
      </c>
      <c r="B406" t="s">
        <v>341</v>
      </c>
      <c r="C406" t="s">
        <v>121</v>
      </c>
      <c r="D406" t="s">
        <v>30</v>
      </c>
      <c r="E406">
        <v>328</v>
      </c>
      <c r="F406" t="s">
        <v>353</v>
      </c>
      <c r="G406" t="s">
        <v>188</v>
      </c>
      <c r="H406" t="s">
        <v>283</v>
      </c>
      <c r="I406" s="1">
        <v>229000</v>
      </c>
      <c r="J406">
        <v>3</v>
      </c>
      <c r="K406" s="7">
        <f>Таблица1[[#This Row],[Штуки]]/SUMIFS(Таблица1[Штуки],Таблица1[Ветка],Таблица1[[#This Row],[Ветка]],Таблица1[Месяц],Таблица1[[#This Row],[Месяц]])</f>
        <v>2.5423728813559324E-2</v>
      </c>
      <c r="L406" s="1">
        <v>655730</v>
      </c>
      <c r="M406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2.5934521591864598E-2</v>
      </c>
      <c r="N406" t="s">
        <v>23</v>
      </c>
      <c r="O406">
        <v>1</v>
      </c>
      <c r="P406">
        <v>5</v>
      </c>
      <c r="Q406">
        <v>42</v>
      </c>
      <c r="R406" t="s">
        <v>344</v>
      </c>
      <c r="S406">
        <v>129</v>
      </c>
      <c r="T406">
        <v>84.1</v>
      </c>
      <c r="U406">
        <v>66</v>
      </c>
      <c r="V406">
        <v>4</v>
      </c>
      <c r="W406">
        <v>-18</v>
      </c>
    </row>
    <row r="407" spans="1:23" x14ac:dyDescent="0.3">
      <c r="A407">
        <v>158660612</v>
      </c>
      <c r="B407" t="s">
        <v>341</v>
      </c>
      <c r="C407" t="s">
        <v>296</v>
      </c>
      <c r="D407" t="s">
        <v>93</v>
      </c>
      <c r="E407">
        <v>600</v>
      </c>
      <c r="F407" t="s">
        <v>356</v>
      </c>
      <c r="G407" t="s">
        <v>26</v>
      </c>
      <c r="H407" t="s">
        <v>283</v>
      </c>
      <c r="I407" s="1">
        <v>324990</v>
      </c>
      <c r="J407">
        <v>2</v>
      </c>
      <c r="K407" s="7">
        <f>Таблица1[[#This Row],[Штуки]]/SUMIFS(Таблица1[Штуки],Таблица1[Ветка],Таблица1[[#This Row],[Ветка]],Таблица1[Месяц],Таблица1[[#This Row],[Месяц]])</f>
        <v>2.0618556701030927E-2</v>
      </c>
      <c r="L407" s="1">
        <v>649980</v>
      </c>
      <c r="M407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2.7983707126080854E-2</v>
      </c>
      <c r="N407" t="s">
        <v>96</v>
      </c>
      <c r="O407">
        <v>2</v>
      </c>
      <c r="P407">
        <v>0</v>
      </c>
      <c r="Q407">
        <v>0</v>
      </c>
      <c r="R407" t="s">
        <v>342</v>
      </c>
      <c r="S407">
        <v>188</v>
      </c>
      <c r="T407">
        <v>90</v>
      </c>
      <c r="U407">
        <v>65.3</v>
      </c>
      <c r="V407">
        <v>0</v>
      </c>
      <c r="W407">
        <v>-18</v>
      </c>
    </row>
    <row r="408" spans="1:23" x14ac:dyDescent="0.3">
      <c r="A408">
        <v>131172629</v>
      </c>
      <c r="B408" t="s">
        <v>341</v>
      </c>
      <c r="C408" t="s">
        <v>241</v>
      </c>
      <c r="D408" t="s">
        <v>133</v>
      </c>
      <c r="E408">
        <v>1000</v>
      </c>
      <c r="F408" t="s">
        <v>360</v>
      </c>
      <c r="G408" t="s">
        <v>242</v>
      </c>
      <c r="H408" t="s">
        <v>283</v>
      </c>
      <c r="I408" s="1">
        <v>650000</v>
      </c>
      <c r="J408">
        <v>1</v>
      </c>
      <c r="K408" s="7">
        <f>Таблица1[[#This Row],[Штуки]]/SUMIFS(Таблица1[Штуки],Таблица1[Ветка],Таблица1[[#This Row],[Ветка]],Таблица1[Месяц],Таблица1[[#This Row],[Месяц]])</f>
        <v>0.1</v>
      </c>
      <c r="L408" s="1">
        <v>645999</v>
      </c>
      <c r="M408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0.12619847221470651</v>
      </c>
      <c r="N408" t="s">
        <v>57</v>
      </c>
      <c r="O408">
        <v>2</v>
      </c>
      <c r="P408">
        <v>5</v>
      </c>
      <c r="Q408">
        <v>2</v>
      </c>
      <c r="R408" t="s">
        <v>342</v>
      </c>
      <c r="S408">
        <v>250</v>
      </c>
      <c r="T408">
        <v>85</v>
      </c>
      <c r="U408">
        <v>85</v>
      </c>
      <c r="V408">
        <v>8</v>
      </c>
      <c r="W408">
        <v>-18</v>
      </c>
    </row>
    <row r="409" spans="1:23" x14ac:dyDescent="0.3">
      <c r="A409">
        <v>159517634</v>
      </c>
      <c r="B409" t="s">
        <v>343</v>
      </c>
      <c r="C409" t="s">
        <v>297</v>
      </c>
      <c r="D409" t="s">
        <v>298</v>
      </c>
      <c r="E409">
        <v>750</v>
      </c>
      <c r="F409" t="s">
        <v>357</v>
      </c>
      <c r="G409" t="s">
        <v>31</v>
      </c>
      <c r="H409" t="s">
        <v>283</v>
      </c>
      <c r="I409" s="1">
        <v>299900</v>
      </c>
      <c r="J409">
        <v>2</v>
      </c>
      <c r="K409" s="7">
        <f>Таблица1[[#This Row],[Штуки]]/SUMIFS(Таблица1[Штуки],Таблица1[Ветка],Таблица1[[#This Row],[Ветка]],Таблица1[Месяц],Таблица1[[#This Row],[Месяц]])</f>
        <v>1.2121212121212121E-2</v>
      </c>
      <c r="L409" s="1">
        <v>645668</v>
      </c>
      <c r="M409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1.0130375625393814E-2</v>
      </c>
      <c r="N409" t="s">
        <v>96</v>
      </c>
      <c r="O409">
        <v>1</v>
      </c>
      <c r="P409">
        <v>5</v>
      </c>
      <c r="Q409">
        <v>0</v>
      </c>
      <c r="R409" t="s">
        <v>344</v>
      </c>
      <c r="S409">
        <v>188</v>
      </c>
      <c r="T409">
        <v>95.5</v>
      </c>
      <c r="U409">
        <v>73.5</v>
      </c>
      <c r="V409">
        <v>2</v>
      </c>
      <c r="W409">
        <v>-18</v>
      </c>
    </row>
    <row r="410" spans="1:23" x14ac:dyDescent="0.3">
      <c r="A410">
        <v>140330902</v>
      </c>
      <c r="B410" t="s">
        <v>341</v>
      </c>
      <c r="C410" t="s">
        <v>272</v>
      </c>
      <c r="D410" t="s">
        <v>91</v>
      </c>
      <c r="E410">
        <v>330</v>
      </c>
      <c r="F410" t="s">
        <v>353</v>
      </c>
      <c r="G410" t="s">
        <v>179</v>
      </c>
      <c r="H410" t="s">
        <v>283</v>
      </c>
      <c r="I410" s="1">
        <v>201990</v>
      </c>
      <c r="J410">
        <v>3</v>
      </c>
      <c r="K410" s="7">
        <f>Таблица1[[#This Row],[Штуки]]/SUMIFS(Таблица1[Штуки],Таблица1[Ветка],Таблица1[[#This Row],[Ветка]],Таблица1[Месяц],Таблица1[[#This Row],[Месяц]])</f>
        <v>2.5423728813559324E-2</v>
      </c>
      <c r="L410" s="1">
        <v>626512</v>
      </c>
      <c r="M410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2.4778931864581875E-2</v>
      </c>
      <c r="N410" t="s">
        <v>57</v>
      </c>
      <c r="O410">
        <v>2</v>
      </c>
      <c r="P410">
        <v>4.8</v>
      </c>
      <c r="Q410">
        <v>4</v>
      </c>
      <c r="R410" t="s">
        <v>342</v>
      </c>
      <c r="S410">
        <v>122.4</v>
      </c>
      <c r="T410">
        <v>82</v>
      </c>
      <c r="U410">
        <v>65.400000000000006</v>
      </c>
      <c r="V410">
        <v>6</v>
      </c>
      <c r="W410">
        <v>0</v>
      </c>
    </row>
    <row r="411" spans="1:23" x14ac:dyDescent="0.3">
      <c r="A411">
        <v>137444909</v>
      </c>
      <c r="B411" t="s">
        <v>341</v>
      </c>
      <c r="C411" t="s">
        <v>85</v>
      </c>
      <c r="D411" t="s">
        <v>20</v>
      </c>
      <c r="E411">
        <v>500</v>
      </c>
      <c r="F411" t="s">
        <v>355</v>
      </c>
      <c r="G411" t="s">
        <v>177</v>
      </c>
      <c r="H411" t="s">
        <v>283</v>
      </c>
      <c r="I411" s="1">
        <v>327800</v>
      </c>
      <c r="J411">
        <v>2</v>
      </c>
      <c r="K411" s="7">
        <f>Таблица1[[#This Row],[Штуки]]/SUMIFS(Таблица1[Штуки],Таблица1[Ветка],Таблица1[[#This Row],[Ветка]],Таблица1[Месяц],Таблица1[[#This Row],[Месяц]])</f>
        <v>1.4388489208633094E-2</v>
      </c>
      <c r="L411" s="1">
        <v>625036</v>
      </c>
      <c r="M411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1.6753051144574899E-2</v>
      </c>
      <c r="N411" t="s">
        <v>57</v>
      </c>
      <c r="O411">
        <v>2</v>
      </c>
      <c r="P411">
        <v>5</v>
      </c>
      <c r="Q411">
        <v>2</v>
      </c>
      <c r="R411" t="s">
        <v>342</v>
      </c>
      <c r="S411">
        <v>150</v>
      </c>
      <c r="T411">
        <v>85</v>
      </c>
      <c r="U411">
        <v>76</v>
      </c>
      <c r="V411">
        <v>5</v>
      </c>
      <c r="W411">
        <v>-24</v>
      </c>
    </row>
    <row r="412" spans="1:23" x14ac:dyDescent="0.3">
      <c r="A412">
        <v>121978807</v>
      </c>
      <c r="B412" t="s">
        <v>341</v>
      </c>
      <c r="C412" t="s">
        <v>58</v>
      </c>
      <c r="D412" t="s">
        <v>30</v>
      </c>
      <c r="E412">
        <v>900</v>
      </c>
      <c r="F412" t="s">
        <v>359</v>
      </c>
      <c r="G412" t="s">
        <v>180</v>
      </c>
      <c r="H412" t="s">
        <v>283</v>
      </c>
      <c r="I412" s="1">
        <v>519090</v>
      </c>
      <c r="J412">
        <v>1</v>
      </c>
      <c r="K412" s="7">
        <f>Таблица1[[#This Row],[Штуки]]/SUMIFS(Таблица1[Штуки],Таблица1[Ветка],Таблица1[[#This Row],[Ветка]],Таблица1[Месяц],Таблица1[[#This Row],[Месяц]])</f>
        <v>0.25</v>
      </c>
      <c r="L412" s="1">
        <v>597611</v>
      </c>
      <c r="M412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0.32194462611259017</v>
      </c>
      <c r="N412" t="s">
        <v>23</v>
      </c>
      <c r="O412">
        <v>4</v>
      </c>
      <c r="P412">
        <v>4.8</v>
      </c>
      <c r="Q412">
        <v>13</v>
      </c>
      <c r="R412" t="s">
        <v>344</v>
      </c>
      <c r="S412">
        <v>214.5</v>
      </c>
      <c r="T412">
        <v>86</v>
      </c>
      <c r="U412">
        <v>89</v>
      </c>
      <c r="V412">
        <v>6</v>
      </c>
      <c r="W412">
        <v>-18</v>
      </c>
    </row>
    <row r="413" spans="1:23" x14ac:dyDescent="0.3">
      <c r="A413">
        <v>154154972</v>
      </c>
      <c r="B413" t="s">
        <v>341</v>
      </c>
      <c r="C413" t="s">
        <v>158</v>
      </c>
      <c r="D413" t="s">
        <v>52</v>
      </c>
      <c r="E413">
        <v>500</v>
      </c>
      <c r="F413" t="s">
        <v>355</v>
      </c>
      <c r="G413" t="s">
        <v>116</v>
      </c>
      <c r="H413" t="s">
        <v>283</v>
      </c>
      <c r="I413" s="1">
        <v>295000</v>
      </c>
      <c r="J413">
        <v>2</v>
      </c>
      <c r="K413" s="7">
        <f>Таблица1[[#This Row],[Штуки]]/SUMIFS(Таблица1[Штуки],Таблица1[Ветка],Таблица1[[#This Row],[Ветка]],Таблица1[Месяц],Таблица1[[#This Row],[Месяц]])</f>
        <v>1.4388489208633094E-2</v>
      </c>
      <c r="L413" s="1">
        <v>590000</v>
      </c>
      <c r="M413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1.5813969395841506E-2</v>
      </c>
      <c r="N413" t="s">
        <v>57</v>
      </c>
      <c r="O413">
        <v>1</v>
      </c>
      <c r="P413">
        <v>5</v>
      </c>
      <c r="Q413">
        <v>1</v>
      </c>
      <c r="R413" t="s">
        <v>344</v>
      </c>
      <c r="S413">
        <v>147</v>
      </c>
      <c r="T413">
        <v>85</v>
      </c>
      <c r="U413">
        <v>75</v>
      </c>
      <c r="V413">
        <v>5</v>
      </c>
      <c r="W413">
        <v>-18</v>
      </c>
    </row>
    <row r="414" spans="1:23" x14ac:dyDescent="0.3">
      <c r="A414">
        <v>119264283</v>
      </c>
      <c r="B414" t="s">
        <v>341</v>
      </c>
      <c r="C414" t="s">
        <v>142</v>
      </c>
      <c r="D414" t="s">
        <v>35</v>
      </c>
      <c r="E414">
        <v>105</v>
      </c>
      <c r="F414" t="s">
        <v>351</v>
      </c>
      <c r="G414" t="s">
        <v>179</v>
      </c>
      <c r="H414" t="s">
        <v>283</v>
      </c>
      <c r="I414" s="1">
        <v>86700</v>
      </c>
      <c r="J414">
        <v>7</v>
      </c>
      <c r="K414" s="7">
        <f>Таблица1[[#This Row],[Штуки]]/SUMIFS(Таблица1[Штуки],Таблица1[Ветка],Таблица1[[#This Row],[Ветка]],Таблица1[Месяц],Таблица1[[#This Row],[Месяц]])</f>
        <v>8.7499999999999994E-2</v>
      </c>
      <c r="L414" s="1">
        <v>562822</v>
      </c>
      <c r="M414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1.8602246533393017E-2</v>
      </c>
      <c r="N414" t="s">
        <v>23</v>
      </c>
      <c r="O414">
        <v>1</v>
      </c>
      <c r="P414">
        <v>4.9000000000000004</v>
      </c>
      <c r="Q414">
        <v>17</v>
      </c>
      <c r="R414" t="s">
        <v>344</v>
      </c>
      <c r="S414">
        <v>60</v>
      </c>
      <c r="T414">
        <v>80</v>
      </c>
      <c r="U414">
        <v>55</v>
      </c>
      <c r="V414">
        <v>1</v>
      </c>
      <c r="W414">
        <v>-18</v>
      </c>
    </row>
    <row r="415" spans="1:23" x14ac:dyDescent="0.3">
      <c r="A415">
        <v>110577135</v>
      </c>
      <c r="B415" t="s">
        <v>343</v>
      </c>
      <c r="C415" t="s">
        <v>299</v>
      </c>
      <c r="D415" t="s">
        <v>87</v>
      </c>
      <c r="E415">
        <v>800</v>
      </c>
      <c r="F415" t="s">
        <v>358</v>
      </c>
      <c r="G415" t="s">
        <v>31</v>
      </c>
      <c r="H415" t="s">
        <v>283</v>
      </c>
      <c r="I415" s="1">
        <v>555000</v>
      </c>
      <c r="J415">
        <v>1</v>
      </c>
      <c r="K415" s="7">
        <f>Таблица1[[#This Row],[Штуки]]/SUMIFS(Таблица1[Штуки],Таблица1[Ветка],Таблица1[[#This Row],[Ветка]],Таблица1[Месяц],Таблица1[[#This Row],[Месяц]])</f>
        <v>9.0909090909090912E-2</v>
      </c>
      <c r="L415" s="1">
        <v>555000</v>
      </c>
      <c r="M415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0.10609045214603781</v>
      </c>
      <c r="N415" t="s">
        <v>96</v>
      </c>
      <c r="O415">
        <v>1</v>
      </c>
      <c r="P415">
        <v>4.9000000000000004</v>
      </c>
      <c r="Q415">
        <v>9</v>
      </c>
      <c r="R415" t="s">
        <v>344</v>
      </c>
      <c r="S415">
        <v>200</v>
      </c>
      <c r="T415">
        <v>84</v>
      </c>
      <c r="U415">
        <v>60</v>
      </c>
      <c r="V415">
        <v>4</v>
      </c>
      <c r="W415">
        <v>-25</v>
      </c>
    </row>
    <row r="416" spans="1:23" x14ac:dyDescent="0.3">
      <c r="A416">
        <v>138886743</v>
      </c>
      <c r="B416" t="s">
        <v>346</v>
      </c>
      <c r="C416" t="s">
        <v>99</v>
      </c>
      <c r="D416" t="s">
        <v>100</v>
      </c>
      <c r="E416">
        <v>120</v>
      </c>
      <c r="F416" t="s">
        <v>351</v>
      </c>
      <c r="G416" t="s">
        <v>196</v>
      </c>
      <c r="H416" t="s">
        <v>283</v>
      </c>
      <c r="I416" s="1">
        <v>659169</v>
      </c>
      <c r="J416">
        <v>1</v>
      </c>
      <c r="K416" s="7">
        <f>Таблица1[[#This Row],[Штуки]]/SUMIFS(Таблица1[Штуки],Таблица1[Ветка],Таблица1[[#This Row],[Ветка]],Таблица1[Месяц],Таблица1[[#This Row],[Месяц]])</f>
        <v>1.2500000000000001E-2</v>
      </c>
      <c r="L416" s="1">
        <v>553690</v>
      </c>
      <c r="M416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1.830041804171546E-2</v>
      </c>
      <c r="N416" t="s">
        <v>23</v>
      </c>
      <c r="O416">
        <v>7</v>
      </c>
      <c r="P416">
        <v>5</v>
      </c>
      <c r="Q416">
        <v>3</v>
      </c>
      <c r="R416" t="s">
        <v>342</v>
      </c>
      <c r="S416">
        <v>120</v>
      </c>
      <c r="T416">
        <v>196</v>
      </c>
      <c r="U416">
        <v>76</v>
      </c>
      <c r="V416">
        <v>0</v>
      </c>
      <c r="W416">
        <v>-14</v>
      </c>
    </row>
    <row r="417" spans="1:23" x14ac:dyDescent="0.3">
      <c r="A417">
        <v>131142642</v>
      </c>
      <c r="B417" t="s">
        <v>343</v>
      </c>
      <c r="C417" t="s">
        <v>300</v>
      </c>
      <c r="D417" t="s">
        <v>104</v>
      </c>
      <c r="E417">
        <v>750</v>
      </c>
      <c r="F417" t="s">
        <v>357</v>
      </c>
      <c r="G417" t="s">
        <v>26</v>
      </c>
      <c r="H417" t="s">
        <v>283</v>
      </c>
      <c r="I417" s="1">
        <v>500000</v>
      </c>
      <c r="J417">
        <v>1</v>
      </c>
      <c r="K417" s="7">
        <f>Таблица1[[#This Row],[Штуки]]/SUMIFS(Таблица1[Штуки],Таблица1[Ветка],Таблица1[[#This Row],[Ветка]],Таблица1[Месяц],Таблица1[[#This Row],[Месяц]])</f>
        <v>6.0606060606060606E-3</v>
      </c>
      <c r="L417" s="1">
        <v>551147</v>
      </c>
      <c r="M417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8.6473638693708287E-3</v>
      </c>
      <c r="N417" t="s">
        <v>96</v>
      </c>
      <c r="O417">
        <v>1</v>
      </c>
      <c r="P417">
        <v>5</v>
      </c>
      <c r="Q417">
        <v>0</v>
      </c>
      <c r="R417" t="s">
        <v>344</v>
      </c>
      <c r="S417">
        <v>194.5</v>
      </c>
      <c r="T417">
        <v>82.5</v>
      </c>
      <c r="U417">
        <v>79.7</v>
      </c>
      <c r="V417">
        <v>0</v>
      </c>
      <c r="W417">
        <v>-18</v>
      </c>
    </row>
    <row r="418" spans="1:23" x14ac:dyDescent="0.3">
      <c r="A418">
        <v>148807907</v>
      </c>
      <c r="B418" t="s">
        <v>343</v>
      </c>
      <c r="C418" t="s">
        <v>280</v>
      </c>
      <c r="D418" t="s">
        <v>74</v>
      </c>
      <c r="E418">
        <v>600</v>
      </c>
      <c r="F418" t="s">
        <v>356</v>
      </c>
      <c r="G418" t="s">
        <v>179</v>
      </c>
      <c r="H418" t="s">
        <v>283</v>
      </c>
      <c r="I418" s="1">
        <v>250578</v>
      </c>
      <c r="J418">
        <v>2</v>
      </c>
      <c r="K418" s="7">
        <f>Таблица1[[#This Row],[Штуки]]/SUMIFS(Таблица1[Штуки],Таблица1[Ветка],Таблица1[[#This Row],[Ветка]],Таблица1[Месяц],Таблица1[[#This Row],[Месяц]])</f>
        <v>2.0618556701030927E-2</v>
      </c>
      <c r="L418" s="1">
        <v>528732</v>
      </c>
      <c r="M418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2.2763594935516451E-2</v>
      </c>
      <c r="N418" t="s">
        <v>96</v>
      </c>
      <c r="O418">
        <v>3</v>
      </c>
      <c r="P418">
        <v>4.5999999999999996</v>
      </c>
      <c r="Q418">
        <v>4</v>
      </c>
      <c r="R418" t="s">
        <v>342</v>
      </c>
      <c r="S418">
        <v>170.3</v>
      </c>
      <c r="T418">
        <v>88.5</v>
      </c>
      <c r="U418">
        <v>76</v>
      </c>
      <c r="V418">
        <v>0</v>
      </c>
      <c r="W418">
        <v>-17</v>
      </c>
    </row>
    <row r="419" spans="1:23" x14ac:dyDescent="0.3">
      <c r="A419">
        <v>141583677</v>
      </c>
      <c r="B419" t="s">
        <v>343</v>
      </c>
      <c r="C419" t="s">
        <v>143</v>
      </c>
      <c r="D419" t="s">
        <v>38</v>
      </c>
      <c r="E419">
        <v>660</v>
      </c>
      <c r="F419" t="s">
        <v>356</v>
      </c>
      <c r="G419" t="s">
        <v>180</v>
      </c>
      <c r="H419" t="s">
        <v>283</v>
      </c>
      <c r="I419" s="1">
        <v>700000</v>
      </c>
      <c r="J419">
        <v>2</v>
      </c>
      <c r="K419" s="7">
        <f>Таблица1[[#This Row],[Штуки]]/SUMIFS(Таблица1[Штуки],Таблица1[Ветка],Таблица1[[#This Row],[Ветка]],Таблица1[Месяц],Таблица1[[#This Row],[Месяц]])</f>
        <v>2.0618556701030927E-2</v>
      </c>
      <c r="L419" s="1">
        <v>521890</v>
      </c>
      <c r="M419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2.2469025065433301E-2</v>
      </c>
      <c r="N419" t="s">
        <v>23</v>
      </c>
      <c r="O419">
        <v>1</v>
      </c>
      <c r="P419">
        <v>4.5999999999999996</v>
      </c>
      <c r="Q419">
        <v>14</v>
      </c>
      <c r="R419" t="s">
        <v>344</v>
      </c>
      <c r="S419">
        <v>180</v>
      </c>
      <c r="T419">
        <v>84</v>
      </c>
      <c r="U419">
        <v>67.400000000000006</v>
      </c>
      <c r="V419">
        <v>2</v>
      </c>
      <c r="W419">
        <v>-24</v>
      </c>
    </row>
    <row r="420" spans="1:23" x14ac:dyDescent="0.3">
      <c r="A420">
        <v>131467095</v>
      </c>
      <c r="B420" t="s">
        <v>341</v>
      </c>
      <c r="C420" t="s">
        <v>301</v>
      </c>
      <c r="D420" t="s">
        <v>115</v>
      </c>
      <c r="E420">
        <v>1200</v>
      </c>
      <c r="F420" t="s">
        <v>362</v>
      </c>
      <c r="G420" t="s">
        <v>31</v>
      </c>
      <c r="H420" t="s">
        <v>283</v>
      </c>
      <c r="I420" s="1">
        <v>800000</v>
      </c>
      <c r="J420">
        <v>1</v>
      </c>
      <c r="K420" s="7">
        <f>Таблица1[[#This Row],[Штуки]]/SUMIFS(Таблица1[Штуки],Таблица1[Ветка],Таблица1[[#This Row],[Ветка]],Таблица1[Месяц],Таблица1[[#This Row],[Месяц]])</f>
        <v>0.16666666666666666</v>
      </c>
      <c r="L420" s="1">
        <v>520000</v>
      </c>
      <c r="M420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0.1580912308010361</v>
      </c>
      <c r="N420" t="s">
        <v>96</v>
      </c>
      <c r="O420">
        <v>1</v>
      </c>
      <c r="P420">
        <v>5</v>
      </c>
      <c r="Q420">
        <v>0</v>
      </c>
      <c r="R420" t="s">
        <v>345</v>
      </c>
      <c r="S420">
        <v>250</v>
      </c>
      <c r="T420">
        <v>82</v>
      </c>
      <c r="U420">
        <v>80</v>
      </c>
      <c r="V420">
        <v>9</v>
      </c>
      <c r="W420">
        <v>0</v>
      </c>
    </row>
    <row r="421" spans="1:23" x14ac:dyDescent="0.3">
      <c r="A421">
        <v>128436967</v>
      </c>
      <c r="B421" t="s">
        <v>341</v>
      </c>
      <c r="C421" t="s">
        <v>260</v>
      </c>
      <c r="D421" t="s">
        <v>216</v>
      </c>
      <c r="E421">
        <v>1100</v>
      </c>
      <c r="F421" t="s">
        <v>361</v>
      </c>
      <c r="G421" t="s">
        <v>180</v>
      </c>
      <c r="H421" t="s">
        <v>283</v>
      </c>
      <c r="I421" s="1">
        <v>494920</v>
      </c>
      <c r="J421">
        <v>1</v>
      </c>
      <c r="K421" s="7">
        <f>Таблица1[[#This Row],[Штуки]]/SUMIFS(Таблица1[Штуки],Таблица1[Ветка],Таблица1[[#This Row],[Ветка]],Таблица1[Месяц],Таблица1[[#This Row],[Месяц]])</f>
        <v>0.5</v>
      </c>
      <c r="L421" s="1">
        <v>514000</v>
      </c>
      <c r="M421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0.5171130203827039</v>
      </c>
      <c r="N421" t="s">
        <v>57</v>
      </c>
      <c r="O421">
        <v>2</v>
      </c>
      <c r="P421">
        <v>5</v>
      </c>
      <c r="Q421">
        <v>1</v>
      </c>
      <c r="R421" t="s">
        <v>344</v>
      </c>
      <c r="S421">
        <v>250</v>
      </c>
      <c r="T421">
        <v>86</v>
      </c>
      <c r="U421">
        <v>77</v>
      </c>
      <c r="V421">
        <v>9</v>
      </c>
      <c r="W421">
        <v>-18</v>
      </c>
    </row>
    <row r="422" spans="1:23" x14ac:dyDescent="0.3">
      <c r="A422">
        <v>132777674</v>
      </c>
      <c r="B422" t="s">
        <v>341</v>
      </c>
      <c r="C422" t="s">
        <v>122</v>
      </c>
      <c r="D422" t="s">
        <v>30</v>
      </c>
      <c r="E422">
        <v>647</v>
      </c>
      <c r="F422" t="s">
        <v>356</v>
      </c>
      <c r="G422" t="s">
        <v>188</v>
      </c>
      <c r="H422" t="s">
        <v>283</v>
      </c>
      <c r="I422" s="1">
        <v>429990</v>
      </c>
      <c r="J422">
        <v>1</v>
      </c>
      <c r="K422" s="7">
        <f>Таблица1[[#This Row],[Штуки]]/SUMIFS(Таблица1[Штуки],Таблица1[Ветка],Таблица1[[#This Row],[Ветка]],Таблица1[Месяц],Таблица1[[#This Row],[Месяц]])</f>
        <v>1.0309278350515464E-2</v>
      </c>
      <c r="L422" s="1">
        <v>507676</v>
      </c>
      <c r="M422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2.1857067138896926E-2</v>
      </c>
      <c r="N422" t="s">
        <v>57</v>
      </c>
      <c r="O422">
        <v>1</v>
      </c>
      <c r="P422">
        <v>5</v>
      </c>
      <c r="Q422">
        <v>2</v>
      </c>
      <c r="R422" t="s">
        <v>342</v>
      </c>
      <c r="S422">
        <v>182</v>
      </c>
      <c r="T422">
        <v>82.2</v>
      </c>
      <c r="U422">
        <v>82.2</v>
      </c>
      <c r="V422">
        <v>6</v>
      </c>
      <c r="W422">
        <v>-25</v>
      </c>
    </row>
    <row r="423" spans="1:23" x14ac:dyDescent="0.3">
      <c r="A423">
        <v>106833516</v>
      </c>
      <c r="B423" t="s">
        <v>341</v>
      </c>
      <c r="C423" t="s">
        <v>302</v>
      </c>
      <c r="D423" t="s">
        <v>87</v>
      </c>
      <c r="E423">
        <v>590</v>
      </c>
      <c r="F423" t="s">
        <v>355</v>
      </c>
      <c r="G423" t="s">
        <v>31</v>
      </c>
      <c r="H423" t="s">
        <v>283</v>
      </c>
      <c r="I423" s="1">
        <v>500000</v>
      </c>
      <c r="J423">
        <v>1</v>
      </c>
      <c r="K423" s="7">
        <f>Таблица1[[#This Row],[Штуки]]/SUMIFS(Таблица1[Штуки],Таблица1[Ветка],Таблица1[[#This Row],[Ветка]],Таблица1[Месяц],Таблица1[[#This Row],[Месяц]])</f>
        <v>7.1942446043165471E-3</v>
      </c>
      <c r="L423" s="1">
        <v>500000</v>
      </c>
      <c r="M423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1.34016689795267E-2</v>
      </c>
      <c r="N423" t="s">
        <v>96</v>
      </c>
      <c r="O423">
        <v>2</v>
      </c>
      <c r="P423">
        <v>4.0999999999999996</v>
      </c>
      <c r="Q423">
        <v>11</v>
      </c>
      <c r="R423" t="s">
        <v>344</v>
      </c>
      <c r="S423">
        <v>180</v>
      </c>
      <c r="T423">
        <v>84</v>
      </c>
      <c r="U423">
        <v>60</v>
      </c>
      <c r="V423">
        <v>8</v>
      </c>
      <c r="W423">
        <v>-22</v>
      </c>
    </row>
    <row r="424" spans="1:23" x14ac:dyDescent="0.3">
      <c r="A424">
        <v>113072746</v>
      </c>
      <c r="B424" t="s">
        <v>341</v>
      </c>
      <c r="C424" t="s">
        <v>192</v>
      </c>
      <c r="D424" t="s">
        <v>87</v>
      </c>
      <c r="E424">
        <v>700</v>
      </c>
      <c r="F424" t="s">
        <v>357</v>
      </c>
      <c r="G424" t="s">
        <v>188</v>
      </c>
      <c r="H424" t="s">
        <v>283</v>
      </c>
      <c r="I424" s="1">
        <v>480000</v>
      </c>
      <c r="J424">
        <v>1</v>
      </c>
      <c r="K424" s="7">
        <f>Таблица1[[#This Row],[Штуки]]/SUMIFS(Таблица1[Штуки],Таблица1[Ветка],Таблица1[[#This Row],[Ветка]],Таблица1[Месяц],Таблица1[[#This Row],[Месяц]])</f>
        <v>6.0606060606060606E-3</v>
      </c>
      <c r="L424" s="1">
        <v>480000</v>
      </c>
      <c r="M424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7.5310845514862598E-3</v>
      </c>
      <c r="N424" t="s">
        <v>57</v>
      </c>
      <c r="O424">
        <v>2</v>
      </c>
      <c r="P424">
        <v>4.9000000000000004</v>
      </c>
      <c r="Q424">
        <v>45</v>
      </c>
      <c r="R424" t="s">
        <v>344</v>
      </c>
      <c r="S424">
        <v>180</v>
      </c>
      <c r="T424">
        <v>84</v>
      </c>
      <c r="U424">
        <v>60</v>
      </c>
      <c r="V424">
        <v>6</v>
      </c>
      <c r="W424">
        <v>-22</v>
      </c>
    </row>
    <row r="425" spans="1:23" x14ac:dyDescent="0.3">
      <c r="A425">
        <v>156863482</v>
      </c>
      <c r="B425" t="s">
        <v>343</v>
      </c>
      <c r="C425" t="s">
        <v>240</v>
      </c>
      <c r="D425" t="s">
        <v>91</v>
      </c>
      <c r="E425">
        <v>1100</v>
      </c>
      <c r="F425" t="s">
        <v>361</v>
      </c>
      <c r="G425" t="s">
        <v>180</v>
      </c>
      <c r="H425" t="s">
        <v>283</v>
      </c>
      <c r="I425" s="1">
        <v>479980</v>
      </c>
      <c r="J425">
        <v>1</v>
      </c>
      <c r="K425" s="7">
        <f>Таблица1[[#This Row],[Штуки]]/SUMIFS(Таблица1[Штуки],Таблица1[Ветка],Таблица1[[#This Row],[Ветка]],Таблица1[Месяц],Таблица1[[#This Row],[Месяц]])</f>
        <v>0.5</v>
      </c>
      <c r="L425" s="1">
        <v>479980</v>
      </c>
      <c r="M425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0.4828869796172961</v>
      </c>
      <c r="N425" t="s">
        <v>57</v>
      </c>
      <c r="O425">
        <v>3</v>
      </c>
      <c r="P425">
        <v>5</v>
      </c>
      <c r="Q425">
        <v>0</v>
      </c>
      <c r="R425" t="s">
        <v>342</v>
      </c>
      <c r="S425">
        <v>236</v>
      </c>
      <c r="T425">
        <v>85</v>
      </c>
      <c r="U425">
        <v>90</v>
      </c>
      <c r="V425">
        <v>0</v>
      </c>
      <c r="W425">
        <v>-20</v>
      </c>
    </row>
    <row r="426" spans="1:23" x14ac:dyDescent="0.3">
      <c r="A426">
        <v>154652840</v>
      </c>
      <c r="B426" t="s">
        <v>343</v>
      </c>
      <c r="C426" t="s">
        <v>303</v>
      </c>
      <c r="D426" t="s">
        <v>38</v>
      </c>
      <c r="E426">
        <v>560</v>
      </c>
      <c r="F426" t="s">
        <v>355</v>
      </c>
      <c r="G426" t="s">
        <v>185</v>
      </c>
      <c r="H426" t="s">
        <v>283</v>
      </c>
      <c r="I426" s="1">
        <v>218990</v>
      </c>
      <c r="J426">
        <v>2</v>
      </c>
      <c r="K426" s="7">
        <f>Таблица1[[#This Row],[Штуки]]/SUMIFS(Таблица1[Штуки],Таблица1[Ветка],Таблица1[[#This Row],[Ветка]],Таблица1[Месяц],Таблица1[[#This Row],[Месяц]])</f>
        <v>1.4388489208633094E-2</v>
      </c>
      <c r="L426" s="1">
        <v>475504</v>
      </c>
      <c r="M426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1.2745094412881727E-2</v>
      </c>
      <c r="N426" t="s">
        <v>57</v>
      </c>
      <c r="O426">
        <v>1</v>
      </c>
      <c r="P426">
        <v>4.5</v>
      </c>
      <c r="Q426">
        <v>2</v>
      </c>
      <c r="R426" t="s">
        <v>344</v>
      </c>
      <c r="S426">
        <v>160</v>
      </c>
      <c r="T426">
        <v>84</v>
      </c>
      <c r="U426">
        <v>67.400000000000006</v>
      </c>
      <c r="V426">
        <v>2</v>
      </c>
      <c r="W426">
        <v>-24</v>
      </c>
    </row>
    <row r="427" spans="1:23" x14ac:dyDescent="0.3">
      <c r="A427">
        <v>166729170</v>
      </c>
      <c r="B427" t="s">
        <v>341</v>
      </c>
      <c r="C427" t="s">
        <v>304</v>
      </c>
      <c r="D427" t="s">
        <v>38</v>
      </c>
      <c r="E427">
        <v>160</v>
      </c>
      <c r="F427" t="s">
        <v>351</v>
      </c>
      <c r="G427" t="s">
        <v>78</v>
      </c>
      <c r="H427" t="s">
        <v>283</v>
      </c>
      <c r="I427" s="1">
        <v>500000</v>
      </c>
      <c r="J427">
        <v>2</v>
      </c>
      <c r="K427" s="7">
        <f>Таблица1[[#This Row],[Штуки]]/SUMIFS(Таблица1[Штуки],Таблица1[Ветка],Таблица1[[#This Row],[Ветка]],Таблица1[Месяц],Таблица1[[#This Row],[Месяц]])</f>
        <v>2.5000000000000001E-2</v>
      </c>
      <c r="L427" s="1">
        <v>461350</v>
      </c>
      <c r="M427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1.524842034991679E-2</v>
      </c>
      <c r="N427" t="s">
        <v>96</v>
      </c>
      <c r="O427">
        <v>1</v>
      </c>
      <c r="P427">
        <v>0</v>
      </c>
      <c r="Q427">
        <v>0</v>
      </c>
      <c r="R427" t="s">
        <v>344</v>
      </c>
      <c r="S427">
        <v>50</v>
      </c>
      <c r="T427">
        <v>70</v>
      </c>
      <c r="U427">
        <v>45</v>
      </c>
      <c r="V427">
        <v>5</v>
      </c>
      <c r="W427">
        <v>-18</v>
      </c>
    </row>
    <row r="428" spans="1:23" x14ac:dyDescent="0.3">
      <c r="A428">
        <v>143491581</v>
      </c>
      <c r="B428" t="s">
        <v>346</v>
      </c>
      <c r="C428" t="s">
        <v>305</v>
      </c>
      <c r="D428" t="s">
        <v>130</v>
      </c>
      <c r="E428">
        <v>800</v>
      </c>
      <c r="F428" t="s">
        <v>358</v>
      </c>
      <c r="G428" t="s">
        <v>78</v>
      </c>
      <c r="H428" t="s">
        <v>283</v>
      </c>
      <c r="I428" s="1">
        <v>403800</v>
      </c>
      <c r="J428">
        <v>1</v>
      </c>
      <c r="K428" s="7">
        <f>Таблица1[[#This Row],[Штуки]]/SUMIFS(Таблица1[Штуки],Таблица1[Ветка],Таблица1[[#This Row],[Ветка]],Таблица1[Месяц],Таблица1[[#This Row],[Месяц]])</f>
        <v>9.0909090909090912E-2</v>
      </c>
      <c r="L428" s="1">
        <v>457954</v>
      </c>
      <c r="M428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8.7539724183939821E-2</v>
      </c>
      <c r="N428" t="s">
        <v>96</v>
      </c>
      <c r="O428">
        <v>2</v>
      </c>
      <c r="P428">
        <v>0</v>
      </c>
      <c r="Q428">
        <v>0</v>
      </c>
      <c r="R428" t="s">
        <v>344</v>
      </c>
      <c r="S428">
        <v>120</v>
      </c>
      <c r="T428">
        <v>200</v>
      </c>
      <c r="U428">
        <v>70</v>
      </c>
      <c r="V428">
        <v>0</v>
      </c>
      <c r="W428">
        <v>-18</v>
      </c>
    </row>
    <row r="429" spans="1:23" x14ac:dyDescent="0.3">
      <c r="A429">
        <v>136188270</v>
      </c>
      <c r="B429" t="s">
        <v>341</v>
      </c>
      <c r="C429" t="s">
        <v>306</v>
      </c>
      <c r="D429" t="s">
        <v>30</v>
      </c>
      <c r="E429">
        <v>158</v>
      </c>
      <c r="F429" t="s">
        <v>351</v>
      </c>
      <c r="G429" t="s">
        <v>26</v>
      </c>
      <c r="H429" t="s">
        <v>283</v>
      </c>
      <c r="I429" s="1">
        <v>164990</v>
      </c>
      <c r="J429">
        <v>3</v>
      </c>
      <c r="K429" s="7">
        <f>Таблица1[[#This Row],[Штуки]]/SUMIFS(Таблица1[Штуки],Таблица1[Ветка],Таблица1[[#This Row],[Ветка]],Таблица1[Месяц],Таблица1[[#This Row],[Месяц]])</f>
        <v>3.7499999999999999E-2</v>
      </c>
      <c r="L429" s="1">
        <v>452502</v>
      </c>
      <c r="M429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1.4955978552461358E-2</v>
      </c>
      <c r="N429" t="s">
        <v>96</v>
      </c>
      <c r="O429">
        <v>3</v>
      </c>
      <c r="P429">
        <v>5</v>
      </c>
      <c r="Q429">
        <v>2</v>
      </c>
      <c r="R429" t="s">
        <v>344</v>
      </c>
      <c r="S429">
        <v>60.6</v>
      </c>
      <c r="T429">
        <v>85</v>
      </c>
      <c r="U429">
        <v>70</v>
      </c>
      <c r="V429">
        <v>1</v>
      </c>
      <c r="W429">
        <v>-18</v>
      </c>
    </row>
    <row r="430" spans="1:23" x14ac:dyDescent="0.3">
      <c r="A430">
        <v>100619981</v>
      </c>
      <c r="B430" t="s">
        <v>341</v>
      </c>
      <c r="C430" t="s">
        <v>131</v>
      </c>
      <c r="D430" t="s">
        <v>87</v>
      </c>
      <c r="E430">
        <v>590</v>
      </c>
      <c r="F430" t="s">
        <v>355</v>
      </c>
      <c r="G430" t="s">
        <v>82</v>
      </c>
      <c r="H430" t="s">
        <v>283</v>
      </c>
      <c r="I430" s="1">
        <v>480000</v>
      </c>
      <c r="J430">
        <v>1</v>
      </c>
      <c r="K430" s="7">
        <f>Таблица1[[#This Row],[Штуки]]/SUMIFS(Таблица1[Штуки],Таблица1[Ветка],Таблица1[[#This Row],[Ветка]],Таблица1[Месяц],Таблица1[[#This Row],[Месяц]])</f>
        <v>7.1942446043165471E-3</v>
      </c>
      <c r="L430" s="1">
        <v>410000</v>
      </c>
      <c r="M430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1.0989368563211893E-2</v>
      </c>
      <c r="N430" t="s">
        <v>96</v>
      </c>
      <c r="O430">
        <v>2</v>
      </c>
      <c r="P430">
        <v>4.8499999999999996</v>
      </c>
      <c r="Q430">
        <v>42</v>
      </c>
      <c r="R430" t="s">
        <v>344</v>
      </c>
      <c r="S430">
        <v>181</v>
      </c>
      <c r="T430">
        <v>85</v>
      </c>
      <c r="U430">
        <v>60</v>
      </c>
      <c r="V430">
        <v>8</v>
      </c>
      <c r="W430">
        <v>-25</v>
      </c>
    </row>
    <row r="431" spans="1:23" x14ac:dyDescent="0.3">
      <c r="A431">
        <v>155690165</v>
      </c>
      <c r="B431" t="s">
        <v>341</v>
      </c>
      <c r="C431" t="s">
        <v>264</v>
      </c>
      <c r="D431" t="s">
        <v>115</v>
      </c>
      <c r="E431">
        <v>880</v>
      </c>
      <c r="F431" t="s">
        <v>358</v>
      </c>
      <c r="G431" t="s">
        <v>265</v>
      </c>
      <c r="H431" t="s">
        <v>283</v>
      </c>
      <c r="I431" s="1">
        <v>410000</v>
      </c>
      <c r="J431">
        <v>1</v>
      </c>
      <c r="K431" s="7">
        <f>Таблица1[[#This Row],[Штуки]]/SUMIFS(Таблица1[Штуки],Таблица1[Ветка],Таблица1[[#This Row],[Ветка]],Таблица1[Месяц],Таблица1[[#This Row],[Месяц]])</f>
        <v>9.0909090909090912E-2</v>
      </c>
      <c r="L431" s="1">
        <v>410000</v>
      </c>
      <c r="M431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7.8373126810586488E-2</v>
      </c>
      <c r="N431" t="s">
        <v>57</v>
      </c>
      <c r="O431">
        <v>1</v>
      </c>
      <c r="P431">
        <v>5</v>
      </c>
      <c r="Q431">
        <v>0</v>
      </c>
      <c r="R431" t="s">
        <v>342</v>
      </c>
      <c r="S431">
        <v>210</v>
      </c>
      <c r="T431">
        <v>87</v>
      </c>
      <c r="U431">
        <v>81</v>
      </c>
      <c r="V431">
        <v>0</v>
      </c>
      <c r="W431">
        <v>-26</v>
      </c>
    </row>
    <row r="432" spans="1:23" x14ac:dyDescent="0.3">
      <c r="A432">
        <v>138886748</v>
      </c>
      <c r="B432" t="s">
        <v>346</v>
      </c>
      <c r="C432" t="s">
        <v>124</v>
      </c>
      <c r="D432" t="s">
        <v>100</v>
      </c>
      <c r="E432">
        <v>600</v>
      </c>
      <c r="F432" t="s">
        <v>356</v>
      </c>
      <c r="G432" t="s">
        <v>101</v>
      </c>
      <c r="H432" t="s">
        <v>283</v>
      </c>
      <c r="I432" s="1">
        <v>397365</v>
      </c>
      <c r="J432">
        <v>1</v>
      </c>
      <c r="K432" s="7">
        <f>Таблица1[[#This Row],[Штуки]]/SUMIFS(Таблица1[Штуки],Таблица1[Ветка],Таблица1[[#This Row],[Ветка]],Таблица1[Месяц],Таблица1[[#This Row],[Месяц]])</f>
        <v>1.0309278350515464E-2</v>
      </c>
      <c r="L432" s="1">
        <v>409169</v>
      </c>
      <c r="M432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1.7616027356336161E-2</v>
      </c>
      <c r="N432" t="s">
        <v>96</v>
      </c>
      <c r="O432">
        <v>7</v>
      </c>
      <c r="P432">
        <v>5</v>
      </c>
      <c r="Q432">
        <v>4</v>
      </c>
      <c r="R432" t="s">
        <v>344</v>
      </c>
      <c r="S432">
        <v>60</v>
      </c>
      <c r="T432">
        <v>196</v>
      </c>
      <c r="U432">
        <v>76</v>
      </c>
      <c r="V432">
        <v>0</v>
      </c>
      <c r="W432">
        <v>-14</v>
      </c>
    </row>
    <row r="433" spans="1:23" x14ac:dyDescent="0.3">
      <c r="A433">
        <v>162467614</v>
      </c>
      <c r="B433" t="s">
        <v>341</v>
      </c>
      <c r="C433" t="s">
        <v>307</v>
      </c>
      <c r="D433" t="s">
        <v>52</v>
      </c>
      <c r="E433">
        <v>669</v>
      </c>
      <c r="F433" t="s">
        <v>356</v>
      </c>
      <c r="G433" t="s">
        <v>26</v>
      </c>
      <c r="H433" t="s">
        <v>283</v>
      </c>
      <c r="I433" s="1">
        <v>398900</v>
      </c>
      <c r="J433">
        <v>1</v>
      </c>
      <c r="K433" s="7">
        <f>Таблица1[[#This Row],[Штуки]]/SUMIFS(Таблица1[Штуки],Таблица1[Ветка],Таблица1[[#This Row],[Ветка]],Таблица1[Месяц],Таблица1[[#This Row],[Месяц]])</f>
        <v>1.0309278350515464E-2</v>
      </c>
      <c r="L433" s="1">
        <v>406552</v>
      </c>
      <c r="M433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1.7503357179486177E-2</v>
      </c>
      <c r="N433" t="s">
        <v>57</v>
      </c>
      <c r="O433">
        <v>1</v>
      </c>
      <c r="P433">
        <v>0</v>
      </c>
      <c r="Q433">
        <v>0</v>
      </c>
      <c r="R433" t="s">
        <v>344</v>
      </c>
      <c r="S433">
        <v>200</v>
      </c>
      <c r="T433">
        <v>84</v>
      </c>
      <c r="U433">
        <v>67</v>
      </c>
      <c r="V433">
        <v>7</v>
      </c>
      <c r="W433">
        <v>-26</v>
      </c>
    </row>
    <row r="434" spans="1:23" x14ac:dyDescent="0.3">
      <c r="A434">
        <v>121205888</v>
      </c>
      <c r="B434" t="s">
        <v>346</v>
      </c>
      <c r="C434" t="s">
        <v>129</v>
      </c>
      <c r="D434" t="s">
        <v>130</v>
      </c>
      <c r="E434">
        <v>800</v>
      </c>
      <c r="F434" t="s">
        <v>358</v>
      </c>
      <c r="G434" t="s">
        <v>185</v>
      </c>
      <c r="H434" t="s">
        <v>283</v>
      </c>
      <c r="I434" s="1">
        <v>391900</v>
      </c>
      <c r="J434">
        <v>1</v>
      </c>
      <c r="K434" s="7">
        <f>Таблица1[[#This Row],[Штуки]]/SUMIFS(Таблица1[Штуки],Таблица1[Ветка],Таблица1[[#This Row],[Ветка]],Таблица1[Месяц],Таблица1[[#This Row],[Месяц]])</f>
        <v>9.0909090909090912E-2</v>
      </c>
      <c r="L434" s="1">
        <v>391900</v>
      </c>
      <c r="M434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7.4913239992850836E-2</v>
      </c>
      <c r="N434" t="s">
        <v>57</v>
      </c>
      <c r="O434">
        <v>1</v>
      </c>
      <c r="P434">
        <v>5</v>
      </c>
      <c r="Q434">
        <v>2</v>
      </c>
      <c r="R434" t="s">
        <v>342</v>
      </c>
      <c r="S434">
        <v>60</v>
      </c>
      <c r="T434">
        <v>196</v>
      </c>
      <c r="U434">
        <v>76</v>
      </c>
      <c r="V434">
        <v>0</v>
      </c>
      <c r="W434">
        <v>-14</v>
      </c>
    </row>
    <row r="435" spans="1:23" x14ac:dyDescent="0.3">
      <c r="A435">
        <v>122620734</v>
      </c>
      <c r="B435" t="s">
        <v>341</v>
      </c>
      <c r="C435" t="s">
        <v>308</v>
      </c>
      <c r="D435" t="s">
        <v>52</v>
      </c>
      <c r="E435">
        <v>730</v>
      </c>
      <c r="F435" t="s">
        <v>357</v>
      </c>
      <c r="G435" t="s">
        <v>31</v>
      </c>
      <c r="H435" t="s">
        <v>283</v>
      </c>
      <c r="I435" s="1">
        <v>374900</v>
      </c>
      <c r="J435">
        <v>1</v>
      </c>
      <c r="K435" s="7">
        <f>Таблица1[[#This Row],[Штуки]]/SUMIFS(Таблица1[Штуки],Таблица1[Ветка],Таблица1[[#This Row],[Ветка]],Таблица1[Месяц],Таблица1[[#This Row],[Месяц]])</f>
        <v>6.0606060606060606E-3</v>
      </c>
      <c r="L435" s="1">
        <v>391714</v>
      </c>
      <c r="M435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6.1458984458351851E-3</v>
      </c>
      <c r="N435" t="s">
        <v>57</v>
      </c>
      <c r="O435">
        <v>1</v>
      </c>
      <c r="P435">
        <v>4.5999999999999996</v>
      </c>
      <c r="Q435">
        <v>2</v>
      </c>
      <c r="R435" t="s">
        <v>345</v>
      </c>
      <c r="S435">
        <v>190</v>
      </c>
      <c r="T435">
        <v>94</v>
      </c>
      <c r="U435">
        <v>83</v>
      </c>
      <c r="V435">
        <v>6</v>
      </c>
      <c r="W435">
        <v>-20</v>
      </c>
    </row>
    <row r="436" spans="1:23" x14ac:dyDescent="0.3">
      <c r="A436">
        <v>147291509</v>
      </c>
      <c r="B436" t="s">
        <v>343</v>
      </c>
      <c r="C436" t="s">
        <v>250</v>
      </c>
      <c r="D436" t="s">
        <v>251</v>
      </c>
      <c r="E436">
        <v>708</v>
      </c>
      <c r="F436" t="s">
        <v>357</v>
      </c>
      <c r="G436" t="s">
        <v>179</v>
      </c>
      <c r="H436" t="s">
        <v>283</v>
      </c>
      <c r="I436" s="1">
        <v>406990</v>
      </c>
      <c r="J436">
        <v>1</v>
      </c>
      <c r="K436" s="7">
        <f>Таблица1[[#This Row],[Штуки]]/SUMIFS(Таблица1[Штуки],Таблица1[Ветка],Таблица1[[#This Row],[Ветка]],Таблица1[Месяц],Таблица1[[#This Row],[Месяц]])</f>
        <v>6.0606060606060606E-3</v>
      </c>
      <c r="L436" s="1">
        <v>379711</v>
      </c>
      <c r="M436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5.9575742627695815E-3</v>
      </c>
      <c r="N436" t="s">
        <v>57</v>
      </c>
      <c r="O436">
        <v>11</v>
      </c>
      <c r="P436">
        <v>5</v>
      </c>
      <c r="Q436">
        <v>2</v>
      </c>
      <c r="R436" t="s">
        <v>344</v>
      </c>
      <c r="S436">
        <v>211</v>
      </c>
      <c r="T436">
        <v>80</v>
      </c>
      <c r="U436">
        <v>79</v>
      </c>
      <c r="V436">
        <v>2</v>
      </c>
      <c r="W436">
        <v>0</v>
      </c>
    </row>
    <row r="437" spans="1:23" x14ac:dyDescent="0.3">
      <c r="A437">
        <v>132088486</v>
      </c>
      <c r="B437" t="s">
        <v>341</v>
      </c>
      <c r="C437" t="s">
        <v>64</v>
      </c>
      <c r="D437" t="s">
        <v>25</v>
      </c>
      <c r="E437">
        <v>680</v>
      </c>
      <c r="F437" t="s">
        <v>356</v>
      </c>
      <c r="G437" t="s">
        <v>179</v>
      </c>
      <c r="H437" t="s">
        <v>283</v>
      </c>
      <c r="I437" s="1">
        <v>372402</v>
      </c>
      <c r="J437">
        <v>1</v>
      </c>
      <c r="K437" s="7">
        <f>Таблица1[[#This Row],[Штуки]]/SUMIFS(Таблица1[Штуки],Таблица1[Ветка],Таблица1[[#This Row],[Ветка]],Таблица1[Месяц],Таблица1[[#This Row],[Месяц]])</f>
        <v>1.0309278350515464E-2</v>
      </c>
      <c r="L437" s="1">
        <v>365927</v>
      </c>
      <c r="M437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1.5754321667628832E-2</v>
      </c>
      <c r="N437" t="s">
        <v>23</v>
      </c>
      <c r="O437">
        <v>3</v>
      </c>
      <c r="P437">
        <v>5</v>
      </c>
      <c r="Q437">
        <v>18</v>
      </c>
      <c r="R437" t="s">
        <v>344</v>
      </c>
      <c r="S437">
        <v>202.5</v>
      </c>
      <c r="T437">
        <v>88.5</v>
      </c>
      <c r="U437">
        <v>66.5</v>
      </c>
      <c r="V437">
        <v>6</v>
      </c>
      <c r="W437">
        <v>-25</v>
      </c>
    </row>
    <row r="438" spans="1:23" x14ac:dyDescent="0.3">
      <c r="A438">
        <v>120039135</v>
      </c>
      <c r="B438" t="s">
        <v>341</v>
      </c>
      <c r="C438" t="s">
        <v>175</v>
      </c>
      <c r="D438" t="s">
        <v>93</v>
      </c>
      <c r="E438">
        <v>280</v>
      </c>
      <c r="F438" t="s">
        <v>352</v>
      </c>
      <c r="G438" t="s">
        <v>193</v>
      </c>
      <c r="H438" t="s">
        <v>283</v>
      </c>
      <c r="I438" s="1">
        <v>179990</v>
      </c>
      <c r="J438">
        <v>2</v>
      </c>
      <c r="K438" s="7">
        <f>Таблица1[[#This Row],[Штуки]]/SUMIFS(Таблица1[Штуки],Таблица1[Ветка],Таблица1[[#This Row],[Ветка]],Таблица1[Месяц],Таблица1[[#This Row],[Месяц]])</f>
        <v>1.7543859649122806E-2</v>
      </c>
      <c r="L438" s="1">
        <v>359980</v>
      </c>
      <c r="M438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2.0756608896661519E-2</v>
      </c>
      <c r="N438" t="s">
        <v>23</v>
      </c>
      <c r="O438">
        <v>1</v>
      </c>
      <c r="P438">
        <v>4.9000000000000004</v>
      </c>
      <c r="Q438">
        <v>21</v>
      </c>
      <c r="R438" t="s">
        <v>342</v>
      </c>
      <c r="S438">
        <v>69</v>
      </c>
      <c r="T438">
        <v>90</v>
      </c>
      <c r="U438">
        <v>102</v>
      </c>
      <c r="V438">
        <v>4</v>
      </c>
      <c r="W438">
        <v>-24</v>
      </c>
    </row>
    <row r="439" spans="1:23" x14ac:dyDescent="0.3">
      <c r="A439">
        <v>142956773</v>
      </c>
      <c r="B439" t="s">
        <v>343</v>
      </c>
      <c r="C439" t="s">
        <v>309</v>
      </c>
      <c r="D439" t="s">
        <v>30</v>
      </c>
      <c r="E439">
        <v>958</v>
      </c>
      <c r="F439" t="s">
        <v>359</v>
      </c>
      <c r="G439" t="s">
        <v>26</v>
      </c>
      <c r="H439" t="s">
        <v>283</v>
      </c>
      <c r="I439" s="1">
        <v>418995</v>
      </c>
      <c r="J439">
        <v>1</v>
      </c>
      <c r="K439" s="7">
        <f>Таблица1[[#This Row],[Штуки]]/SUMIFS(Таблица1[Штуки],Таблица1[Ветка],Таблица1[[#This Row],[Ветка]],Таблица1[Месяц],Таблица1[[#This Row],[Месяц]])</f>
        <v>0.25</v>
      </c>
      <c r="L439" s="1">
        <v>358643</v>
      </c>
      <c r="M439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0.19320793382802137</v>
      </c>
      <c r="N439" t="s">
        <v>96</v>
      </c>
      <c r="O439">
        <v>2</v>
      </c>
      <c r="P439">
        <v>5</v>
      </c>
      <c r="Q439">
        <v>5</v>
      </c>
      <c r="R439" t="s">
        <v>342</v>
      </c>
      <c r="S439">
        <v>230</v>
      </c>
      <c r="T439">
        <v>86.4</v>
      </c>
      <c r="U439">
        <v>93.5</v>
      </c>
      <c r="V439">
        <v>0</v>
      </c>
      <c r="W439">
        <v>-35</v>
      </c>
    </row>
    <row r="440" spans="1:23" x14ac:dyDescent="0.3">
      <c r="A440">
        <v>165137896</v>
      </c>
      <c r="B440" t="s">
        <v>341</v>
      </c>
      <c r="C440" t="s">
        <v>310</v>
      </c>
      <c r="D440" t="s">
        <v>133</v>
      </c>
      <c r="E440">
        <v>103</v>
      </c>
      <c r="F440" t="s">
        <v>351</v>
      </c>
      <c r="G440" t="s">
        <v>26</v>
      </c>
      <c r="H440" t="s">
        <v>283</v>
      </c>
      <c r="I440" s="1">
        <v>155000</v>
      </c>
      <c r="J440">
        <v>2</v>
      </c>
      <c r="K440" s="7">
        <f>Таблица1[[#This Row],[Штуки]]/SUMIFS(Таблица1[Штуки],Таблица1[Ветка],Таблица1[[#This Row],[Ветка]],Таблица1[Месяц],Таблица1[[#This Row],[Месяц]])</f>
        <v>2.5000000000000001E-2</v>
      </c>
      <c r="L440" s="1">
        <v>330897</v>
      </c>
      <c r="M440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1.0936721683161192E-2</v>
      </c>
      <c r="N440" t="s">
        <v>96</v>
      </c>
      <c r="O440">
        <v>1</v>
      </c>
      <c r="P440">
        <v>0</v>
      </c>
      <c r="Q440">
        <v>0</v>
      </c>
      <c r="R440" t="s">
        <v>342</v>
      </c>
      <c r="S440">
        <v>55</v>
      </c>
      <c r="T440">
        <v>81</v>
      </c>
      <c r="U440">
        <v>51</v>
      </c>
      <c r="V440">
        <v>0</v>
      </c>
      <c r="W440">
        <v>-22</v>
      </c>
    </row>
    <row r="441" spans="1:23" x14ac:dyDescent="0.3">
      <c r="A441">
        <v>162985690</v>
      </c>
      <c r="B441" t="s">
        <v>341</v>
      </c>
      <c r="C441" t="s">
        <v>311</v>
      </c>
      <c r="D441" t="s">
        <v>74</v>
      </c>
      <c r="E441">
        <v>620</v>
      </c>
      <c r="F441" t="s">
        <v>356</v>
      </c>
      <c r="G441" t="s">
        <v>26</v>
      </c>
      <c r="H441" t="s">
        <v>283</v>
      </c>
      <c r="I441" s="1">
        <v>299999</v>
      </c>
      <c r="J441">
        <v>22</v>
      </c>
      <c r="K441" s="7">
        <f>Таблица1[[#This Row],[Штуки]]/SUMIFS(Таблица1[Штуки],Таблица1[Ветка],Таблица1[[#This Row],[Ветка]],Таблица1[Месяц],Таблица1[[#This Row],[Месяц]])</f>
        <v>0.22680412371134021</v>
      </c>
      <c r="L441" s="1">
        <v>328642</v>
      </c>
      <c r="M441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1.414908378308481E-2</v>
      </c>
      <c r="N441" t="s">
        <v>96</v>
      </c>
      <c r="O441">
        <v>7</v>
      </c>
      <c r="P441">
        <v>5</v>
      </c>
      <c r="Q441">
        <v>19</v>
      </c>
      <c r="R441" t="s">
        <v>342</v>
      </c>
      <c r="S441">
        <v>176.3</v>
      </c>
      <c r="T441">
        <v>92.5</v>
      </c>
      <c r="U441">
        <v>77.599999999999994</v>
      </c>
      <c r="V441">
        <v>0</v>
      </c>
      <c r="W441">
        <v>-17</v>
      </c>
    </row>
    <row r="442" spans="1:23" x14ac:dyDescent="0.3">
      <c r="A442">
        <v>141167073</v>
      </c>
      <c r="B442" t="s">
        <v>343</v>
      </c>
      <c r="C442" t="s">
        <v>106</v>
      </c>
      <c r="D442" t="s">
        <v>107</v>
      </c>
      <c r="E442">
        <v>502</v>
      </c>
      <c r="F442" t="s">
        <v>355</v>
      </c>
      <c r="G442" t="s">
        <v>179</v>
      </c>
      <c r="H442" t="s">
        <v>283</v>
      </c>
      <c r="I442" s="1">
        <v>294982</v>
      </c>
      <c r="J442">
        <v>1</v>
      </c>
      <c r="K442" s="7">
        <f>Таблица1[[#This Row],[Штуки]]/SUMIFS(Таблица1[Штуки],Таблица1[Ветка],Таблица1[[#This Row],[Ветка]],Таблица1[Месяц],Таблица1[[#This Row],[Месяц]])</f>
        <v>7.1942446043165471E-3</v>
      </c>
      <c r="L442" s="1">
        <v>319990</v>
      </c>
      <c r="M442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8.5768001135174965E-3</v>
      </c>
      <c r="N442" t="s">
        <v>57</v>
      </c>
      <c r="O442">
        <v>5</v>
      </c>
      <c r="P442">
        <v>4.9000000000000004</v>
      </c>
      <c r="Q442">
        <v>14</v>
      </c>
      <c r="R442" t="s">
        <v>344</v>
      </c>
      <c r="S442">
        <v>155</v>
      </c>
      <c r="T442">
        <v>89</v>
      </c>
      <c r="U442">
        <v>77</v>
      </c>
      <c r="V442">
        <v>4</v>
      </c>
      <c r="W442">
        <v>0</v>
      </c>
    </row>
    <row r="443" spans="1:23" x14ac:dyDescent="0.3">
      <c r="A443">
        <v>140289737</v>
      </c>
      <c r="B443" t="s">
        <v>341</v>
      </c>
      <c r="C443" t="s">
        <v>312</v>
      </c>
      <c r="D443" t="s">
        <v>52</v>
      </c>
      <c r="E443">
        <v>520</v>
      </c>
      <c r="F443" t="s">
        <v>355</v>
      </c>
      <c r="G443" t="s">
        <v>26</v>
      </c>
      <c r="H443" t="s">
        <v>283</v>
      </c>
      <c r="I443" s="1">
        <v>319200</v>
      </c>
      <c r="J443">
        <v>1</v>
      </c>
      <c r="K443" s="7">
        <f>Таблица1[[#This Row],[Штуки]]/SUMIFS(Таблица1[Штуки],Таблица1[Ветка],Таблица1[[#This Row],[Ветка]],Таблица1[Месяц],Таблица1[[#This Row],[Месяц]])</f>
        <v>7.1942446043165471E-3</v>
      </c>
      <c r="L443" s="1">
        <v>319200</v>
      </c>
      <c r="M443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8.5556254765298441E-3</v>
      </c>
      <c r="N443" t="s">
        <v>96</v>
      </c>
      <c r="O443">
        <v>4</v>
      </c>
      <c r="P443">
        <v>5</v>
      </c>
      <c r="Q443">
        <v>0</v>
      </c>
      <c r="R443" t="s">
        <v>344</v>
      </c>
      <c r="S443">
        <v>152</v>
      </c>
      <c r="T443">
        <v>84</v>
      </c>
      <c r="U443">
        <v>70</v>
      </c>
      <c r="V443">
        <v>5</v>
      </c>
      <c r="W443">
        <v>-18</v>
      </c>
    </row>
    <row r="444" spans="1:23" x14ac:dyDescent="0.3">
      <c r="A444">
        <v>116319762</v>
      </c>
      <c r="B444" t="s">
        <v>343</v>
      </c>
      <c r="C444" t="s">
        <v>313</v>
      </c>
      <c r="D444" t="s">
        <v>25</v>
      </c>
      <c r="E444">
        <v>510</v>
      </c>
      <c r="F444" t="s">
        <v>355</v>
      </c>
      <c r="G444" t="s">
        <v>26</v>
      </c>
      <c r="H444" t="s">
        <v>283</v>
      </c>
      <c r="I444" s="1">
        <v>319000</v>
      </c>
      <c r="J444">
        <v>1</v>
      </c>
      <c r="K444" s="7">
        <f>Таблица1[[#This Row],[Штуки]]/SUMIFS(Таблица1[Штуки],Таблица1[Ветка],Таблица1[[#This Row],[Ветка]],Таблица1[Месяц],Таблица1[[#This Row],[Месяц]])</f>
        <v>7.1942446043165471E-3</v>
      </c>
      <c r="L444" s="1">
        <v>314155</v>
      </c>
      <c r="M444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8.4204026365264206E-3</v>
      </c>
      <c r="N444" t="s">
        <v>96</v>
      </c>
      <c r="O444">
        <v>1</v>
      </c>
      <c r="P444">
        <v>4.83</v>
      </c>
      <c r="Q444">
        <v>2</v>
      </c>
      <c r="R444" t="s">
        <v>344</v>
      </c>
      <c r="S444">
        <v>179</v>
      </c>
      <c r="T444">
        <v>81</v>
      </c>
      <c r="U444">
        <v>66.5</v>
      </c>
      <c r="V444">
        <v>2</v>
      </c>
      <c r="W444">
        <v>0</v>
      </c>
    </row>
    <row r="445" spans="1:23" x14ac:dyDescent="0.3">
      <c r="A445">
        <v>103923411</v>
      </c>
      <c r="B445" t="s">
        <v>346</v>
      </c>
      <c r="C445" t="s">
        <v>145</v>
      </c>
      <c r="D445" t="s">
        <v>146</v>
      </c>
      <c r="E445">
        <v>96</v>
      </c>
      <c r="F445" t="s">
        <v>350</v>
      </c>
      <c r="G445" t="s">
        <v>26</v>
      </c>
      <c r="H445" t="s">
        <v>283</v>
      </c>
      <c r="I445" s="1">
        <v>309990</v>
      </c>
      <c r="J445">
        <v>1</v>
      </c>
      <c r="K445" s="7">
        <f>Таблица1[[#This Row],[Штуки]]/SUMIFS(Таблица1[Штуки],Таблица1[Ветка],Таблица1[[#This Row],[Ветка]],Таблица1[Месяц],Таблица1[[#This Row],[Месяц]])</f>
        <v>1</v>
      </c>
      <c r="L445" s="1">
        <v>309990</v>
      </c>
      <c r="M445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1</v>
      </c>
      <c r="N445" t="s">
        <v>57</v>
      </c>
      <c r="O445">
        <v>3</v>
      </c>
      <c r="P445">
        <v>4.9000000000000004</v>
      </c>
      <c r="Q445">
        <v>14</v>
      </c>
      <c r="R445" t="s">
        <v>344</v>
      </c>
      <c r="S445">
        <v>59.5</v>
      </c>
      <c r="T445">
        <v>81.8</v>
      </c>
      <c r="U445">
        <v>54.5</v>
      </c>
      <c r="V445">
        <v>0</v>
      </c>
      <c r="W445">
        <v>-24</v>
      </c>
    </row>
    <row r="446" spans="1:23" x14ac:dyDescent="0.3">
      <c r="A446">
        <v>153722102</v>
      </c>
      <c r="B446" t="s">
        <v>343</v>
      </c>
      <c r="C446" t="s">
        <v>243</v>
      </c>
      <c r="D446" t="s">
        <v>104</v>
      </c>
      <c r="E446">
        <v>700</v>
      </c>
      <c r="F446" t="s">
        <v>357</v>
      </c>
      <c r="G446" t="s">
        <v>180</v>
      </c>
      <c r="H446" t="s">
        <v>283</v>
      </c>
      <c r="I446" s="1">
        <v>292666</v>
      </c>
      <c r="J446">
        <v>1</v>
      </c>
      <c r="K446" s="7">
        <f>Таблица1[[#This Row],[Штуки]]/SUMIFS(Таблица1[Штуки],Таблица1[Ветка],Таблица1[[#This Row],[Ветка]],Таблица1[Месяц],Таблица1[[#This Row],[Месяц]])</f>
        <v>6.0606060606060606E-3</v>
      </c>
      <c r="L446" s="1">
        <v>296950</v>
      </c>
      <c r="M446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4.6590740782580103E-3</v>
      </c>
      <c r="N446" t="s">
        <v>57</v>
      </c>
      <c r="O446">
        <v>6</v>
      </c>
      <c r="P446">
        <v>5</v>
      </c>
      <c r="Q446">
        <v>1</v>
      </c>
      <c r="R446" t="s">
        <v>342</v>
      </c>
      <c r="S446">
        <v>193</v>
      </c>
      <c r="T446">
        <v>82.5</v>
      </c>
      <c r="U446">
        <v>71</v>
      </c>
      <c r="V446">
        <v>0</v>
      </c>
      <c r="W446">
        <v>0</v>
      </c>
    </row>
    <row r="447" spans="1:23" x14ac:dyDescent="0.3">
      <c r="A447">
        <v>148912880</v>
      </c>
      <c r="B447" t="s">
        <v>343</v>
      </c>
      <c r="C447" t="s">
        <v>206</v>
      </c>
      <c r="D447" t="s">
        <v>148</v>
      </c>
      <c r="E447">
        <v>600</v>
      </c>
      <c r="F447" t="s">
        <v>356</v>
      </c>
      <c r="G447" t="s">
        <v>179</v>
      </c>
      <c r="H447" t="s">
        <v>283</v>
      </c>
      <c r="I447" s="1">
        <v>308990</v>
      </c>
      <c r="J447">
        <v>1</v>
      </c>
      <c r="K447" s="7">
        <f>Таблица1[[#This Row],[Штуки]]/SUMIFS(Таблица1[Штуки],Таблица1[Ветка],Таблица1[[#This Row],[Ветка]],Таблица1[Месяц],Таблица1[[#This Row],[Месяц]])</f>
        <v>1.0309278350515464E-2</v>
      </c>
      <c r="L447" s="1">
        <v>289330</v>
      </c>
      <c r="M447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1.2456577098970698E-2</v>
      </c>
      <c r="N447" t="s">
        <v>96</v>
      </c>
      <c r="O447">
        <v>1</v>
      </c>
      <c r="P447">
        <v>5</v>
      </c>
      <c r="Q447">
        <v>3</v>
      </c>
      <c r="R447" t="s">
        <v>344</v>
      </c>
      <c r="S447">
        <v>177.5</v>
      </c>
      <c r="T447">
        <v>91</v>
      </c>
      <c r="U447">
        <v>72.5</v>
      </c>
      <c r="V447">
        <v>3</v>
      </c>
      <c r="W447">
        <v>-18</v>
      </c>
    </row>
    <row r="448" spans="1:23" x14ac:dyDescent="0.3">
      <c r="A448">
        <v>163466491</v>
      </c>
      <c r="B448" t="s">
        <v>341</v>
      </c>
      <c r="C448" t="s">
        <v>314</v>
      </c>
      <c r="D448" t="s">
        <v>30</v>
      </c>
      <c r="E448">
        <v>400</v>
      </c>
      <c r="F448" t="s">
        <v>354</v>
      </c>
      <c r="G448" t="s">
        <v>26</v>
      </c>
      <c r="H448" t="s">
        <v>283</v>
      </c>
      <c r="I448" s="1">
        <v>255200</v>
      </c>
      <c r="J448">
        <v>1</v>
      </c>
      <c r="K448" s="7">
        <f>Таблица1[[#This Row],[Штуки]]/SUMIFS(Таблица1[Штуки],Таблица1[Ветка],Таблица1[[#This Row],[Ветка]],Таблица1[Месяц],Таблица1[[#This Row],[Месяц]])</f>
        <v>3.2258064516129031E-2</v>
      </c>
      <c r="L448" s="1">
        <v>287972</v>
      </c>
      <c r="M448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3.7600322976396712E-2</v>
      </c>
      <c r="N448" t="s">
        <v>96</v>
      </c>
      <c r="O448">
        <v>1</v>
      </c>
      <c r="P448">
        <v>5</v>
      </c>
      <c r="Q448">
        <v>1</v>
      </c>
      <c r="R448" t="s">
        <v>344</v>
      </c>
      <c r="S448">
        <v>104</v>
      </c>
      <c r="T448">
        <v>63.7</v>
      </c>
      <c r="U448">
        <v>59.8</v>
      </c>
      <c r="V448">
        <v>5</v>
      </c>
      <c r="W448">
        <v>-22</v>
      </c>
    </row>
    <row r="449" spans="1:23" x14ac:dyDescent="0.3">
      <c r="A449">
        <v>159643820</v>
      </c>
      <c r="B449" t="s">
        <v>343</v>
      </c>
      <c r="C449" t="s">
        <v>315</v>
      </c>
      <c r="D449" t="s">
        <v>133</v>
      </c>
      <c r="E449">
        <v>701</v>
      </c>
      <c r="F449" t="s">
        <v>357</v>
      </c>
      <c r="G449" t="s">
        <v>26</v>
      </c>
      <c r="H449" t="s">
        <v>283</v>
      </c>
      <c r="I449" s="1">
        <v>274000</v>
      </c>
      <c r="J449">
        <v>1</v>
      </c>
      <c r="K449" s="7">
        <f>Таблица1[[#This Row],[Штуки]]/SUMIFS(Таблица1[Штуки],Таблица1[Ветка],Таблица1[[#This Row],[Ветка]],Таблица1[Месяц],Таблица1[[#This Row],[Месяц]])</f>
        <v>6.0606060606060606E-3</v>
      </c>
      <c r="L449" s="1">
        <v>275000</v>
      </c>
      <c r="M449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4.3146838576223366E-3</v>
      </c>
      <c r="N449" t="s">
        <v>96</v>
      </c>
      <c r="O449">
        <v>2</v>
      </c>
      <c r="P449">
        <v>0</v>
      </c>
      <c r="Q449">
        <v>0</v>
      </c>
      <c r="R449" t="s">
        <v>344</v>
      </c>
      <c r="S449">
        <v>195</v>
      </c>
      <c r="T449">
        <v>88</v>
      </c>
      <c r="U449">
        <v>80</v>
      </c>
      <c r="V449">
        <v>1</v>
      </c>
      <c r="W449">
        <v>-18</v>
      </c>
    </row>
    <row r="450" spans="1:23" x14ac:dyDescent="0.3">
      <c r="A450">
        <v>153336154</v>
      </c>
      <c r="B450" t="s">
        <v>343</v>
      </c>
      <c r="C450" t="s">
        <v>170</v>
      </c>
      <c r="D450" t="s">
        <v>104</v>
      </c>
      <c r="E450">
        <v>550</v>
      </c>
      <c r="F450" t="s">
        <v>355</v>
      </c>
      <c r="G450" t="s">
        <v>179</v>
      </c>
      <c r="H450" t="s">
        <v>283</v>
      </c>
      <c r="I450" s="1">
        <v>249980</v>
      </c>
      <c r="J450">
        <v>1</v>
      </c>
      <c r="K450" s="7">
        <f>Таблица1[[#This Row],[Штуки]]/SUMIFS(Таблица1[Штуки],Таблица1[Ветка],Таблица1[[#This Row],[Ветка]],Таблица1[Месяц],Таблица1[[#This Row],[Месяц]])</f>
        <v>7.1942446043165471E-3</v>
      </c>
      <c r="L450" s="1">
        <v>249990</v>
      </c>
      <c r="M450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6.7005664563837587E-3</v>
      </c>
      <c r="N450" t="s">
        <v>57</v>
      </c>
      <c r="O450">
        <v>2</v>
      </c>
      <c r="P450">
        <v>5</v>
      </c>
      <c r="Q450">
        <v>3</v>
      </c>
      <c r="R450" t="s">
        <v>342</v>
      </c>
      <c r="S450">
        <v>153.5</v>
      </c>
      <c r="T450">
        <v>82.5</v>
      </c>
      <c r="U450">
        <v>74</v>
      </c>
      <c r="V450">
        <v>0</v>
      </c>
      <c r="W450">
        <v>-18</v>
      </c>
    </row>
    <row r="451" spans="1:23" x14ac:dyDescent="0.3">
      <c r="A451">
        <v>156862883</v>
      </c>
      <c r="B451" t="s">
        <v>343</v>
      </c>
      <c r="C451" t="s">
        <v>316</v>
      </c>
      <c r="D451" t="s">
        <v>91</v>
      </c>
      <c r="E451">
        <v>550</v>
      </c>
      <c r="F451" t="s">
        <v>355</v>
      </c>
      <c r="G451" t="s">
        <v>31</v>
      </c>
      <c r="H451" t="s">
        <v>283</v>
      </c>
      <c r="I451" s="1">
        <v>233000</v>
      </c>
      <c r="J451">
        <v>1</v>
      </c>
      <c r="K451" s="7">
        <f>Таблица1[[#This Row],[Штуки]]/SUMIFS(Таблица1[Штуки],Таблица1[Ветка],Таблица1[[#This Row],[Ветка]],Таблица1[Месяц],Таблица1[[#This Row],[Месяц]])</f>
        <v>7.1942446043165471E-3</v>
      </c>
      <c r="L451" s="1">
        <v>234980</v>
      </c>
      <c r="M451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6.2982483536183674E-3</v>
      </c>
      <c r="N451" t="s">
        <v>96</v>
      </c>
      <c r="O451">
        <v>5</v>
      </c>
      <c r="P451">
        <v>0</v>
      </c>
      <c r="Q451">
        <v>0</v>
      </c>
      <c r="R451" t="s">
        <v>342</v>
      </c>
      <c r="S451">
        <v>153</v>
      </c>
      <c r="T451">
        <v>74</v>
      </c>
      <c r="U451">
        <v>83</v>
      </c>
      <c r="V451">
        <v>1</v>
      </c>
      <c r="W451">
        <v>-18</v>
      </c>
    </row>
    <row r="452" spans="1:23" x14ac:dyDescent="0.3">
      <c r="A452">
        <v>166729413</v>
      </c>
      <c r="B452" t="s">
        <v>341</v>
      </c>
      <c r="C452" t="s">
        <v>317</v>
      </c>
      <c r="D452" t="s">
        <v>38</v>
      </c>
      <c r="E452">
        <v>260</v>
      </c>
      <c r="F452" t="s">
        <v>352</v>
      </c>
      <c r="G452" t="s">
        <v>31</v>
      </c>
      <c r="H452" t="s">
        <v>283</v>
      </c>
      <c r="I452" s="1">
        <v>500000</v>
      </c>
      <c r="J452">
        <v>1</v>
      </c>
      <c r="K452" s="7">
        <f>Таблица1[[#This Row],[Штуки]]/SUMIFS(Таблица1[Штуки],Таблица1[Ветка],Таблица1[[#This Row],[Ветка]],Таблица1[Месяц],Таблица1[[#This Row],[Месяц]])</f>
        <v>8.771929824561403E-3</v>
      </c>
      <c r="L452" s="1">
        <v>177990</v>
      </c>
      <c r="M452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1.0262983547743718E-2</v>
      </c>
      <c r="N452" t="s">
        <v>96</v>
      </c>
      <c r="O452">
        <v>1</v>
      </c>
      <c r="P452">
        <v>0</v>
      </c>
      <c r="Q452">
        <v>0</v>
      </c>
      <c r="R452" t="s">
        <v>344</v>
      </c>
      <c r="S452">
        <v>50</v>
      </c>
      <c r="T452">
        <v>80</v>
      </c>
      <c r="U452">
        <v>50</v>
      </c>
      <c r="V452">
        <v>5</v>
      </c>
      <c r="W452">
        <v>-24</v>
      </c>
    </row>
    <row r="453" spans="1:23" x14ac:dyDescent="0.3">
      <c r="A453">
        <v>117728288</v>
      </c>
      <c r="B453" t="s">
        <v>341</v>
      </c>
      <c r="C453" t="s">
        <v>318</v>
      </c>
      <c r="D453" t="s">
        <v>93</v>
      </c>
      <c r="E453">
        <v>156</v>
      </c>
      <c r="F453" t="s">
        <v>351</v>
      </c>
      <c r="G453" t="s">
        <v>31</v>
      </c>
      <c r="H453" t="s">
        <v>283</v>
      </c>
      <c r="I453" s="1">
        <v>109990</v>
      </c>
      <c r="J453">
        <v>1</v>
      </c>
      <c r="K453" s="7">
        <f>Таблица1[[#This Row],[Штуки]]/SUMIFS(Таблица1[Штуки],Таблица1[Ветка],Таблица1[[#This Row],[Ветка]],Таблица1[Месяц],Таблица1[[#This Row],[Месяц]])</f>
        <v>1.2500000000000001E-2</v>
      </c>
      <c r="L453" s="1">
        <v>109990</v>
      </c>
      <c r="M453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3.635360906659473E-3</v>
      </c>
      <c r="N453" t="s">
        <v>96</v>
      </c>
      <c r="O453">
        <v>2</v>
      </c>
      <c r="P453">
        <v>4.79</v>
      </c>
      <c r="Q453">
        <v>22</v>
      </c>
      <c r="R453" t="s">
        <v>342</v>
      </c>
      <c r="S453">
        <v>70</v>
      </c>
      <c r="T453">
        <v>90</v>
      </c>
      <c r="U453">
        <v>62</v>
      </c>
      <c r="V453">
        <v>1</v>
      </c>
      <c r="W453">
        <v>-18</v>
      </c>
    </row>
    <row r="454" spans="1:23" x14ac:dyDescent="0.3">
      <c r="A454">
        <v>123748471</v>
      </c>
      <c r="B454" t="s">
        <v>341</v>
      </c>
      <c r="C454" t="s">
        <v>167</v>
      </c>
      <c r="D454" t="s">
        <v>35</v>
      </c>
      <c r="E454">
        <v>112</v>
      </c>
      <c r="F454" t="s">
        <v>351</v>
      </c>
      <c r="G454" t="s">
        <v>185</v>
      </c>
      <c r="H454" t="s">
        <v>283</v>
      </c>
      <c r="I454" s="1">
        <v>89900</v>
      </c>
      <c r="J454">
        <v>1</v>
      </c>
      <c r="K454" s="7">
        <f>Таблица1[[#This Row],[Штуки]]/SUMIFS(Таблица1[Штуки],Таблица1[Ветка],Таблица1[[#This Row],[Ветка]],Таблица1[Месяц],Таблица1[[#This Row],[Месяц]])</f>
        <v>1.2500000000000001E-2</v>
      </c>
      <c r="L454" s="1">
        <v>102796</v>
      </c>
      <c r="M454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3.3975866875258403E-3</v>
      </c>
      <c r="N454" t="s">
        <v>96</v>
      </c>
      <c r="O454">
        <v>1</v>
      </c>
      <c r="P454">
        <v>5</v>
      </c>
      <c r="Q454">
        <v>0</v>
      </c>
      <c r="R454" t="s">
        <v>344</v>
      </c>
      <c r="S454">
        <v>66</v>
      </c>
      <c r="T454">
        <v>82</v>
      </c>
      <c r="U454">
        <v>48</v>
      </c>
      <c r="V454">
        <v>2</v>
      </c>
      <c r="W454">
        <v>-18</v>
      </c>
    </row>
    <row r="455" spans="1:23" x14ac:dyDescent="0.3">
      <c r="A455">
        <v>137444919</v>
      </c>
      <c r="B455" t="s">
        <v>341</v>
      </c>
      <c r="C455" t="s">
        <v>28</v>
      </c>
      <c r="D455" t="s">
        <v>20</v>
      </c>
      <c r="E455">
        <v>700</v>
      </c>
      <c r="F455" t="s">
        <v>357</v>
      </c>
      <c r="G455" t="s">
        <v>177</v>
      </c>
      <c r="H455" t="s">
        <v>319</v>
      </c>
      <c r="I455" s="1">
        <v>377220</v>
      </c>
      <c r="J455">
        <v>57</v>
      </c>
      <c r="K455" s="7">
        <f>Таблица1[[#This Row],[Штуки]]/SUMIFS(Таблица1[Штуки],Таблица1[Ветка],Таблица1[[#This Row],[Ветка]],Таблица1[Месяц],Таблица1[[#This Row],[Месяц]])</f>
        <v>0.4453125</v>
      </c>
      <c r="L455" s="1">
        <v>22003733</v>
      </c>
      <c r="M455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0.43884381719216842</v>
      </c>
      <c r="N455" t="s">
        <v>23</v>
      </c>
      <c r="O455">
        <v>3</v>
      </c>
      <c r="P455">
        <v>5</v>
      </c>
      <c r="Q455">
        <v>56</v>
      </c>
      <c r="R455" t="s">
        <v>342</v>
      </c>
      <c r="S455">
        <v>200</v>
      </c>
      <c r="T455">
        <v>85</v>
      </c>
      <c r="U455">
        <v>76</v>
      </c>
      <c r="V455">
        <v>7</v>
      </c>
      <c r="W455">
        <v>-24</v>
      </c>
    </row>
    <row r="456" spans="1:23" x14ac:dyDescent="0.3">
      <c r="A456">
        <v>100018121</v>
      </c>
      <c r="B456" t="s">
        <v>343</v>
      </c>
      <c r="C456" t="s">
        <v>24</v>
      </c>
      <c r="D456" t="s">
        <v>25</v>
      </c>
      <c r="E456">
        <v>600</v>
      </c>
      <c r="F456" t="s">
        <v>356</v>
      </c>
      <c r="G456" t="s">
        <v>179</v>
      </c>
      <c r="H456" t="s">
        <v>319</v>
      </c>
      <c r="I456" s="1">
        <v>291462</v>
      </c>
      <c r="J456">
        <v>65</v>
      </c>
      <c r="K456" s="7">
        <f>Таблица1[[#This Row],[Штуки]]/SUMIFS(Таблица1[Штуки],Таблица1[Ветка],Таблица1[[#This Row],[Ветка]],Таблица1[Месяц],Таблица1[[#This Row],[Месяц]])</f>
        <v>0.69148936170212771</v>
      </c>
      <c r="L456" s="1">
        <v>18287865</v>
      </c>
      <c r="M456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0.67191116157830189</v>
      </c>
      <c r="N456" t="s">
        <v>23</v>
      </c>
      <c r="O456">
        <v>7</v>
      </c>
      <c r="P456">
        <v>4.7</v>
      </c>
      <c r="Q456">
        <v>152</v>
      </c>
      <c r="R456" t="s">
        <v>344</v>
      </c>
      <c r="S456">
        <v>203.5</v>
      </c>
      <c r="T456">
        <v>81</v>
      </c>
      <c r="U456">
        <v>66.5</v>
      </c>
      <c r="V456">
        <v>2</v>
      </c>
      <c r="W456">
        <v>-18</v>
      </c>
    </row>
    <row r="457" spans="1:23" x14ac:dyDescent="0.3">
      <c r="A457">
        <v>140700154</v>
      </c>
      <c r="B457" t="s">
        <v>341</v>
      </c>
      <c r="C457" t="s">
        <v>208</v>
      </c>
      <c r="D457" t="s">
        <v>165</v>
      </c>
      <c r="E457">
        <v>338</v>
      </c>
      <c r="F457" t="s">
        <v>353</v>
      </c>
      <c r="G457" t="s">
        <v>180</v>
      </c>
      <c r="H457" t="s">
        <v>319</v>
      </c>
      <c r="I457" s="1">
        <v>224000</v>
      </c>
      <c r="J457">
        <v>58</v>
      </c>
      <c r="K457" s="7">
        <f>Таблица1[[#This Row],[Штуки]]/SUMIFS(Таблица1[Штуки],Таблица1[Ветка],Таблица1[[#This Row],[Ветка]],Таблица1[Месяц],Таблица1[[#This Row],[Месяц]])</f>
        <v>0.31351351351351353</v>
      </c>
      <c r="L457" s="1">
        <v>11807326</v>
      </c>
      <c r="M457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0.28653517458870342</v>
      </c>
      <c r="N457" t="s">
        <v>23</v>
      </c>
      <c r="O457">
        <v>2</v>
      </c>
      <c r="P457">
        <v>5</v>
      </c>
      <c r="Q457">
        <v>26</v>
      </c>
      <c r="R457" t="s">
        <v>344</v>
      </c>
      <c r="S457">
        <v>130</v>
      </c>
      <c r="T457">
        <v>86</v>
      </c>
      <c r="U457">
        <v>65</v>
      </c>
      <c r="V457">
        <v>5</v>
      </c>
      <c r="W457">
        <v>-25</v>
      </c>
    </row>
    <row r="458" spans="1:23" x14ac:dyDescent="0.3">
      <c r="A458">
        <v>121978941</v>
      </c>
      <c r="B458" t="s">
        <v>341</v>
      </c>
      <c r="C458" t="s">
        <v>47</v>
      </c>
      <c r="D458" t="s">
        <v>30</v>
      </c>
      <c r="E458">
        <v>268</v>
      </c>
      <c r="F458" t="s">
        <v>352</v>
      </c>
      <c r="G458" t="s">
        <v>182</v>
      </c>
      <c r="H458" t="s">
        <v>319</v>
      </c>
      <c r="I458" s="1">
        <v>180000</v>
      </c>
      <c r="J458">
        <v>62</v>
      </c>
      <c r="K458" s="7">
        <f>Таблица1[[#This Row],[Штуки]]/SUMIFS(Таблица1[Штуки],Таблица1[Ветка],Таблица1[[#This Row],[Ветка]],Таблица1[Месяц],Таблица1[[#This Row],[Месяц]])</f>
        <v>0.57943925233644855</v>
      </c>
      <c r="L458" s="1">
        <v>10662725</v>
      </c>
      <c r="M458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0.52890668898948889</v>
      </c>
      <c r="N458" t="s">
        <v>23</v>
      </c>
      <c r="O458">
        <v>2</v>
      </c>
      <c r="P458">
        <v>4.9000000000000004</v>
      </c>
      <c r="Q458">
        <v>69</v>
      </c>
      <c r="R458" t="s">
        <v>344</v>
      </c>
      <c r="S458">
        <v>109.5</v>
      </c>
      <c r="T458">
        <v>85</v>
      </c>
      <c r="U458">
        <v>60</v>
      </c>
      <c r="V458">
        <v>3</v>
      </c>
      <c r="W458">
        <v>-18</v>
      </c>
    </row>
    <row r="459" spans="1:23" x14ac:dyDescent="0.3">
      <c r="A459">
        <v>121978898</v>
      </c>
      <c r="B459" t="s">
        <v>341</v>
      </c>
      <c r="C459" t="s">
        <v>29</v>
      </c>
      <c r="D459" t="s">
        <v>30</v>
      </c>
      <c r="E459">
        <v>718</v>
      </c>
      <c r="F459" t="s">
        <v>357</v>
      </c>
      <c r="G459" t="s">
        <v>180</v>
      </c>
      <c r="H459" t="s">
        <v>319</v>
      </c>
      <c r="I459" s="1">
        <v>420000</v>
      </c>
      <c r="J459">
        <v>25</v>
      </c>
      <c r="K459" s="7">
        <f>Таблица1[[#This Row],[Штуки]]/SUMIFS(Таблица1[Штуки],Таблица1[Ветка],Таблица1[[#This Row],[Ветка]],Таблица1[Месяц],Таблица1[[#This Row],[Месяц]])</f>
        <v>0.1953125</v>
      </c>
      <c r="L459" s="1">
        <v>10484291</v>
      </c>
      <c r="M459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0.20909935068715371</v>
      </c>
      <c r="N459" t="s">
        <v>23</v>
      </c>
      <c r="O459">
        <v>9</v>
      </c>
      <c r="P459">
        <v>4.9000000000000004</v>
      </c>
      <c r="Q459">
        <v>137</v>
      </c>
      <c r="R459" t="s">
        <v>344</v>
      </c>
      <c r="S459">
        <v>200</v>
      </c>
      <c r="T459">
        <v>86</v>
      </c>
      <c r="U459">
        <v>75.7</v>
      </c>
      <c r="V459">
        <v>6</v>
      </c>
      <c r="W459">
        <v>-18</v>
      </c>
    </row>
    <row r="460" spans="1:23" x14ac:dyDescent="0.3">
      <c r="A460">
        <v>121978926</v>
      </c>
      <c r="B460" t="s">
        <v>341</v>
      </c>
      <c r="C460" t="s">
        <v>72</v>
      </c>
      <c r="D460" t="s">
        <v>30</v>
      </c>
      <c r="E460">
        <v>328</v>
      </c>
      <c r="F460" t="s">
        <v>353</v>
      </c>
      <c r="G460" t="s">
        <v>179</v>
      </c>
      <c r="H460" t="s">
        <v>319</v>
      </c>
      <c r="I460" s="1">
        <v>212900</v>
      </c>
      <c r="J460">
        <v>41</v>
      </c>
      <c r="K460" s="7">
        <f>Таблица1[[#This Row],[Штуки]]/SUMIFS(Таблица1[Штуки],Таблица1[Ветка],Таблица1[[#This Row],[Ветка]],Таблица1[Месяц],Таблица1[[#This Row],[Месяц]])</f>
        <v>0.22162162162162163</v>
      </c>
      <c r="L460" s="1">
        <v>10451234</v>
      </c>
      <c r="M460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0.25362610965915511</v>
      </c>
      <c r="N460" t="s">
        <v>23</v>
      </c>
      <c r="O460">
        <v>4</v>
      </c>
      <c r="P460">
        <v>4.9000000000000004</v>
      </c>
      <c r="Q460">
        <v>145</v>
      </c>
      <c r="R460" t="s">
        <v>344</v>
      </c>
      <c r="S460">
        <v>124</v>
      </c>
      <c r="T460">
        <v>82.6</v>
      </c>
      <c r="U460">
        <v>69.3</v>
      </c>
      <c r="V460">
        <v>4</v>
      </c>
      <c r="W460">
        <v>-18</v>
      </c>
    </row>
    <row r="461" spans="1:23" x14ac:dyDescent="0.3">
      <c r="A461">
        <v>137444929</v>
      </c>
      <c r="B461" t="s">
        <v>341</v>
      </c>
      <c r="C461" t="s">
        <v>19</v>
      </c>
      <c r="D461" t="s">
        <v>20</v>
      </c>
      <c r="E461">
        <v>100</v>
      </c>
      <c r="F461" t="s">
        <v>351</v>
      </c>
      <c r="G461" t="s">
        <v>177</v>
      </c>
      <c r="H461" t="s">
        <v>319</v>
      </c>
      <c r="I461" s="1">
        <v>534315</v>
      </c>
      <c r="J461">
        <v>18</v>
      </c>
      <c r="K461" s="7">
        <f>Таблица1[[#This Row],[Штуки]]/SUMIFS(Таблица1[Штуки],Таблица1[Ветка],Таблица1[[#This Row],[Ветка]],Таблица1[Месяц],Таблица1[[#This Row],[Месяц]])</f>
        <v>0.24657534246575341</v>
      </c>
      <c r="L461" s="1">
        <v>10084339</v>
      </c>
      <c r="M461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0.33440668833339582</v>
      </c>
      <c r="N461" t="s">
        <v>23</v>
      </c>
      <c r="O461">
        <v>3</v>
      </c>
      <c r="P461">
        <v>4.9000000000000004</v>
      </c>
      <c r="Q461">
        <v>42</v>
      </c>
      <c r="R461" t="s">
        <v>342</v>
      </c>
      <c r="S461">
        <v>250</v>
      </c>
      <c r="T461">
        <v>85</v>
      </c>
      <c r="U461">
        <v>76</v>
      </c>
      <c r="V461">
        <v>9</v>
      </c>
      <c r="W461">
        <v>-18</v>
      </c>
    </row>
    <row r="462" spans="1:23" x14ac:dyDescent="0.3">
      <c r="A462">
        <v>2800664</v>
      </c>
      <c r="B462" t="s">
        <v>343</v>
      </c>
      <c r="C462" t="s">
        <v>27</v>
      </c>
      <c r="D462" t="s">
        <v>25</v>
      </c>
      <c r="E462">
        <v>510</v>
      </c>
      <c r="F462" t="s">
        <v>355</v>
      </c>
      <c r="G462" t="s">
        <v>179</v>
      </c>
      <c r="H462" t="s">
        <v>319</v>
      </c>
      <c r="I462" s="1">
        <v>261335</v>
      </c>
      <c r="J462">
        <v>29</v>
      </c>
      <c r="K462" s="7">
        <f>Таблица1[[#This Row],[Штуки]]/SUMIFS(Таблица1[Штуки],Таблица1[Ветка],Таблица1[[#This Row],[Ветка]],Таблица1[Месяц],Таблица1[[#This Row],[Месяц]])</f>
        <v>0.27102803738317754</v>
      </c>
      <c r="L462" s="1">
        <v>7516960</v>
      </c>
      <c r="M462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0.23026790098923824</v>
      </c>
      <c r="N462" t="s">
        <v>23</v>
      </c>
      <c r="O462">
        <v>17</v>
      </c>
      <c r="P462">
        <v>4.8</v>
      </c>
      <c r="Q462">
        <v>197</v>
      </c>
      <c r="R462" t="s">
        <v>344</v>
      </c>
      <c r="S462">
        <v>179</v>
      </c>
      <c r="T462">
        <v>81</v>
      </c>
      <c r="U462">
        <v>66</v>
      </c>
      <c r="V462">
        <v>2</v>
      </c>
      <c r="W462">
        <v>-18</v>
      </c>
    </row>
    <row r="463" spans="1:23" x14ac:dyDescent="0.3">
      <c r="A463">
        <v>148881342</v>
      </c>
      <c r="B463" t="s">
        <v>341</v>
      </c>
      <c r="C463" t="s">
        <v>110</v>
      </c>
      <c r="D463" t="s">
        <v>84</v>
      </c>
      <c r="E463">
        <v>125</v>
      </c>
      <c r="F463" t="s">
        <v>351</v>
      </c>
      <c r="G463" t="s">
        <v>180</v>
      </c>
      <c r="H463" t="s">
        <v>319</v>
      </c>
      <c r="I463" s="1">
        <v>556000</v>
      </c>
      <c r="J463">
        <v>13</v>
      </c>
      <c r="K463" s="7">
        <f>Таблица1[[#This Row],[Штуки]]/SUMIFS(Таблица1[Штуки],Таблица1[Ветка],Таблица1[[#This Row],[Ветка]],Таблица1[Месяц],Таблица1[[#This Row],[Месяц]])</f>
        <v>0.17808219178082191</v>
      </c>
      <c r="L463" s="1">
        <v>7229127</v>
      </c>
      <c r="M463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0.23972502507219728</v>
      </c>
      <c r="N463" t="s">
        <v>23</v>
      </c>
      <c r="O463">
        <v>1</v>
      </c>
      <c r="P463">
        <v>5</v>
      </c>
      <c r="Q463">
        <v>12</v>
      </c>
      <c r="R463" t="s">
        <v>342</v>
      </c>
      <c r="S463">
        <v>250</v>
      </c>
      <c r="T463">
        <v>84</v>
      </c>
      <c r="U463">
        <v>75</v>
      </c>
      <c r="V463">
        <v>9</v>
      </c>
      <c r="W463">
        <v>-22</v>
      </c>
    </row>
    <row r="464" spans="1:23" x14ac:dyDescent="0.3">
      <c r="A464">
        <v>120039135</v>
      </c>
      <c r="B464" t="s">
        <v>341</v>
      </c>
      <c r="C464" t="s">
        <v>175</v>
      </c>
      <c r="D464" t="s">
        <v>93</v>
      </c>
      <c r="E464">
        <v>280</v>
      </c>
      <c r="F464" t="s">
        <v>352</v>
      </c>
      <c r="G464" t="s">
        <v>193</v>
      </c>
      <c r="H464" t="s">
        <v>319</v>
      </c>
      <c r="I464" s="1">
        <v>179990</v>
      </c>
      <c r="J464">
        <v>34</v>
      </c>
      <c r="K464" s="7">
        <f>Таблица1[[#This Row],[Штуки]]/SUMIFS(Таблица1[Штуки],Таблица1[Ветка],Таблица1[[#This Row],[Ветка]],Таблица1[Месяц],Таблица1[[#This Row],[Месяц]])</f>
        <v>0.31775700934579437</v>
      </c>
      <c r="L464" s="1">
        <v>5900213</v>
      </c>
      <c r="M464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0.2926702247467452</v>
      </c>
      <c r="N464" t="s">
        <v>23</v>
      </c>
      <c r="O464">
        <v>1</v>
      </c>
      <c r="P464">
        <v>4.9000000000000004</v>
      </c>
      <c r="Q464">
        <v>21</v>
      </c>
      <c r="R464" t="s">
        <v>342</v>
      </c>
      <c r="S464">
        <v>69</v>
      </c>
      <c r="T464">
        <v>90</v>
      </c>
      <c r="U464">
        <v>102</v>
      </c>
      <c r="V464">
        <v>4</v>
      </c>
      <c r="W464">
        <v>-24</v>
      </c>
    </row>
    <row r="465" spans="1:23" x14ac:dyDescent="0.3">
      <c r="A465">
        <v>156640750</v>
      </c>
      <c r="B465" t="s">
        <v>341</v>
      </c>
      <c r="C465" t="s">
        <v>194</v>
      </c>
      <c r="D465" t="s">
        <v>165</v>
      </c>
      <c r="E465">
        <v>338</v>
      </c>
      <c r="F465" t="s">
        <v>353</v>
      </c>
      <c r="G465" t="s">
        <v>195</v>
      </c>
      <c r="H465" t="s">
        <v>319</v>
      </c>
      <c r="I465" s="1">
        <v>224000</v>
      </c>
      <c r="J465">
        <v>26</v>
      </c>
      <c r="K465" s="7">
        <f>Таблица1[[#This Row],[Штуки]]/SUMIFS(Таблица1[Штуки],Таблица1[Ветка],Таблица1[[#This Row],[Ветка]],Таблица1[Месяц],Таблица1[[#This Row],[Месяц]])</f>
        <v>0.14054054054054055</v>
      </c>
      <c r="L465" s="1">
        <v>5709046</v>
      </c>
      <c r="M465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0.13854470456265364</v>
      </c>
      <c r="N465" t="s">
        <v>23</v>
      </c>
      <c r="O465">
        <v>2</v>
      </c>
      <c r="P465">
        <v>5</v>
      </c>
      <c r="Q465">
        <v>7</v>
      </c>
      <c r="R465" t="s">
        <v>344</v>
      </c>
      <c r="S465">
        <v>128</v>
      </c>
      <c r="T465">
        <v>83</v>
      </c>
      <c r="U465">
        <v>60</v>
      </c>
      <c r="V465">
        <v>5</v>
      </c>
      <c r="W465">
        <v>-24</v>
      </c>
    </row>
    <row r="466" spans="1:23" x14ac:dyDescent="0.3">
      <c r="A466">
        <v>132115831</v>
      </c>
      <c r="B466" t="s">
        <v>341</v>
      </c>
      <c r="C466" t="s">
        <v>121</v>
      </c>
      <c r="D466" t="s">
        <v>30</v>
      </c>
      <c r="E466">
        <v>328</v>
      </c>
      <c r="F466" t="s">
        <v>353</v>
      </c>
      <c r="G466" t="s">
        <v>188</v>
      </c>
      <c r="H466" t="s">
        <v>319</v>
      </c>
      <c r="I466" s="1">
        <v>229000</v>
      </c>
      <c r="J466">
        <v>24</v>
      </c>
      <c r="K466" s="7">
        <f>Таблица1[[#This Row],[Штуки]]/SUMIFS(Таблица1[Штуки],Таблица1[Ветка],Таблица1[[#This Row],[Ветка]],Таблица1[Месяц],Таблица1[[#This Row],[Месяц]])</f>
        <v>0.12972972972972974</v>
      </c>
      <c r="L466" s="1">
        <v>5681494</v>
      </c>
      <c r="M466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0.13787608432380632</v>
      </c>
      <c r="N466" t="s">
        <v>23</v>
      </c>
      <c r="O466">
        <v>1</v>
      </c>
      <c r="P466">
        <v>5</v>
      </c>
      <c r="Q466">
        <v>42</v>
      </c>
      <c r="R466" t="s">
        <v>344</v>
      </c>
      <c r="S466">
        <v>129</v>
      </c>
      <c r="T466">
        <v>84.1</v>
      </c>
      <c r="U466">
        <v>66</v>
      </c>
      <c r="V466">
        <v>4</v>
      </c>
      <c r="W466">
        <v>-18</v>
      </c>
    </row>
    <row r="467" spans="1:23" x14ac:dyDescent="0.3">
      <c r="A467">
        <v>140611570</v>
      </c>
      <c r="B467" t="s">
        <v>343</v>
      </c>
      <c r="C467" t="s">
        <v>49</v>
      </c>
      <c r="D467" t="s">
        <v>50</v>
      </c>
      <c r="E467">
        <v>1600</v>
      </c>
      <c r="F467" t="s">
        <v>365</v>
      </c>
      <c r="G467" t="s">
        <v>26</v>
      </c>
      <c r="H467" t="s">
        <v>319</v>
      </c>
      <c r="I467" s="1">
        <v>729989</v>
      </c>
      <c r="J467">
        <v>8</v>
      </c>
      <c r="K467" s="7">
        <f>Таблица1[[#This Row],[Штуки]]/SUMIFS(Таблица1[Штуки],Таблица1[Ветка],Таблица1[[#This Row],[Ветка]],Таблица1[Месяц],Таблица1[[#This Row],[Месяц]])</f>
        <v>1</v>
      </c>
      <c r="L467" s="1">
        <v>5665960</v>
      </c>
      <c r="M467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1</v>
      </c>
      <c r="N467" t="s">
        <v>23</v>
      </c>
      <c r="O467">
        <v>3</v>
      </c>
      <c r="P467">
        <v>5</v>
      </c>
      <c r="Q467">
        <v>10</v>
      </c>
      <c r="R467" t="s">
        <v>344</v>
      </c>
      <c r="S467">
        <v>315</v>
      </c>
      <c r="T467">
        <v>93</v>
      </c>
      <c r="U467">
        <v>89</v>
      </c>
      <c r="V467">
        <v>0</v>
      </c>
      <c r="W467">
        <v>-18</v>
      </c>
    </row>
    <row r="468" spans="1:23" x14ac:dyDescent="0.3">
      <c r="A468">
        <v>121978911</v>
      </c>
      <c r="B468" t="s">
        <v>341</v>
      </c>
      <c r="C468" t="s">
        <v>63</v>
      </c>
      <c r="D468" t="s">
        <v>30</v>
      </c>
      <c r="E468">
        <v>518</v>
      </c>
      <c r="F468" t="s">
        <v>355</v>
      </c>
      <c r="G468" t="s">
        <v>180</v>
      </c>
      <c r="H468" t="s">
        <v>319</v>
      </c>
      <c r="I468" s="1">
        <v>301000</v>
      </c>
      <c r="J468">
        <v>14</v>
      </c>
      <c r="K468" s="7">
        <f>Таблица1[[#This Row],[Штуки]]/SUMIFS(Таблица1[Штуки],Таблица1[Ветка],Таблица1[[#This Row],[Ветка]],Таблица1[Месяц],Таблица1[[#This Row],[Месяц]])</f>
        <v>0.13084112149532709</v>
      </c>
      <c r="L468" s="1">
        <v>5048341</v>
      </c>
      <c r="M468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0.15464641098900514</v>
      </c>
      <c r="N468" t="s">
        <v>23</v>
      </c>
      <c r="O468">
        <v>10</v>
      </c>
      <c r="P468">
        <v>4.9000000000000004</v>
      </c>
      <c r="Q468">
        <v>58</v>
      </c>
      <c r="R468" t="s">
        <v>344</v>
      </c>
      <c r="S468">
        <v>147.5</v>
      </c>
      <c r="T468">
        <v>86</v>
      </c>
      <c r="U468">
        <v>75.7</v>
      </c>
      <c r="V468">
        <v>4</v>
      </c>
      <c r="W468">
        <v>-18</v>
      </c>
    </row>
    <row r="469" spans="1:23" x14ac:dyDescent="0.3">
      <c r="A469">
        <v>121978785</v>
      </c>
      <c r="B469" t="s">
        <v>341</v>
      </c>
      <c r="C469" t="s">
        <v>97</v>
      </c>
      <c r="D469" t="s">
        <v>30</v>
      </c>
      <c r="E469">
        <v>100</v>
      </c>
      <c r="F469" t="s">
        <v>351</v>
      </c>
      <c r="G469" t="s">
        <v>180</v>
      </c>
      <c r="H469" t="s">
        <v>319</v>
      </c>
      <c r="I469" s="1">
        <v>658000</v>
      </c>
      <c r="J469">
        <v>6</v>
      </c>
      <c r="K469" s="7">
        <f>Таблица1[[#This Row],[Штуки]]/SUMIFS(Таблица1[Штуки],Таблица1[Ветка],Таблица1[[#This Row],[Ветка]],Таблица1[Месяц],Таблица1[[#This Row],[Месяц]])</f>
        <v>8.2191780821917804E-2</v>
      </c>
      <c r="L469" s="1">
        <v>4294732</v>
      </c>
      <c r="M469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0.14241757495453711</v>
      </c>
      <c r="N469" t="s">
        <v>23</v>
      </c>
      <c r="O469">
        <v>3</v>
      </c>
      <c r="P469">
        <v>4.9000000000000004</v>
      </c>
      <c r="Q469">
        <v>31</v>
      </c>
      <c r="R469" t="s">
        <v>344</v>
      </c>
      <c r="S469">
        <v>254.5</v>
      </c>
      <c r="T469">
        <v>86</v>
      </c>
      <c r="U469">
        <v>89</v>
      </c>
      <c r="V469">
        <v>5</v>
      </c>
      <c r="W469">
        <v>0</v>
      </c>
    </row>
    <row r="470" spans="1:23" x14ac:dyDescent="0.3">
      <c r="A470">
        <v>137446425</v>
      </c>
      <c r="B470" t="s">
        <v>341</v>
      </c>
      <c r="C470" t="s">
        <v>32</v>
      </c>
      <c r="D470" t="s">
        <v>20</v>
      </c>
      <c r="E470">
        <v>500</v>
      </c>
      <c r="F470" t="s">
        <v>355</v>
      </c>
      <c r="G470" t="s">
        <v>183</v>
      </c>
      <c r="H470" t="s">
        <v>319</v>
      </c>
      <c r="I470" s="1">
        <v>322765</v>
      </c>
      <c r="J470">
        <v>12</v>
      </c>
      <c r="K470" s="7">
        <f>Таблица1[[#This Row],[Штуки]]/SUMIFS(Таблица1[Штуки],Таблица1[Ветка],Таблица1[[#This Row],[Ветка]],Таблица1[Месяц],Таблица1[[#This Row],[Месяц]])</f>
        <v>0.11214953271028037</v>
      </c>
      <c r="L470" s="1">
        <v>4008033</v>
      </c>
      <c r="M470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0.12277853627072641</v>
      </c>
      <c r="N470" t="s">
        <v>23</v>
      </c>
      <c r="O470">
        <v>3</v>
      </c>
      <c r="P470">
        <v>4.9000000000000004</v>
      </c>
      <c r="Q470">
        <v>27</v>
      </c>
      <c r="R470" t="s">
        <v>342</v>
      </c>
      <c r="S470">
        <v>150</v>
      </c>
      <c r="T470">
        <v>85</v>
      </c>
      <c r="U470">
        <v>76</v>
      </c>
      <c r="V470">
        <v>5</v>
      </c>
      <c r="W470">
        <v>-24</v>
      </c>
    </row>
    <row r="471" spans="1:23" x14ac:dyDescent="0.3">
      <c r="A471">
        <v>142526631</v>
      </c>
      <c r="B471" t="s">
        <v>341</v>
      </c>
      <c r="C471" t="s">
        <v>128</v>
      </c>
      <c r="D471" t="s">
        <v>115</v>
      </c>
      <c r="E471">
        <v>700</v>
      </c>
      <c r="F471" t="s">
        <v>357</v>
      </c>
      <c r="G471" t="s">
        <v>180</v>
      </c>
      <c r="H471" t="s">
        <v>319</v>
      </c>
      <c r="I471" s="1">
        <v>374999</v>
      </c>
      <c r="J471">
        <v>9</v>
      </c>
      <c r="K471" s="7">
        <f>Таблица1[[#This Row],[Штуки]]/SUMIFS(Таблица1[Штуки],Таблица1[Ветка],Таблица1[[#This Row],[Ветка]],Таблица1[Месяц],Таблица1[[#This Row],[Месяц]])</f>
        <v>7.03125E-2</v>
      </c>
      <c r="L471" s="1">
        <v>3379547</v>
      </c>
      <c r="M471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6.7401895208433094E-2</v>
      </c>
      <c r="N471" t="s">
        <v>23</v>
      </c>
      <c r="O471">
        <v>1</v>
      </c>
      <c r="P471">
        <v>5</v>
      </c>
      <c r="Q471">
        <v>3</v>
      </c>
      <c r="R471" t="s">
        <v>342</v>
      </c>
      <c r="S471">
        <v>200</v>
      </c>
      <c r="T471">
        <v>80</v>
      </c>
      <c r="U471">
        <v>76</v>
      </c>
      <c r="V471">
        <v>7</v>
      </c>
      <c r="W471">
        <v>-24</v>
      </c>
    </row>
    <row r="472" spans="1:23" x14ac:dyDescent="0.3">
      <c r="A472">
        <v>141491976</v>
      </c>
      <c r="B472" t="s">
        <v>347</v>
      </c>
      <c r="C472" t="s">
        <v>320</v>
      </c>
      <c r="D472" t="s">
        <v>321</v>
      </c>
      <c r="E472">
        <v>160</v>
      </c>
      <c r="F472" t="s">
        <v>351</v>
      </c>
      <c r="G472" t="s">
        <v>31</v>
      </c>
      <c r="H472" t="s">
        <v>319</v>
      </c>
      <c r="I472" s="1">
        <v>1361011</v>
      </c>
      <c r="J472">
        <v>2</v>
      </c>
      <c r="K472" s="7">
        <f>Таблица1[[#This Row],[Штуки]]/SUMIFS(Таблица1[Штуки],Таблица1[Ветка],Таблица1[[#This Row],[Ветка]],Таблица1[Месяц],Таблица1[[#This Row],[Месяц]])</f>
        <v>2.7397260273972601E-2</v>
      </c>
      <c r="L472" s="1">
        <v>2782691</v>
      </c>
      <c r="M472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9.2276794935706313E-2</v>
      </c>
      <c r="N472" t="s">
        <v>23</v>
      </c>
      <c r="O472">
        <v>2</v>
      </c>
      <c r="P472">
        <v>0</v>
      </c>
      <c r="Q472">
        <v>0</v>
      </c>
      <c r="R472" t="s">
        <v>345</v>
      </c>
      <c r="S472">
        <v>74.5</v>
      </c>
      <c r="T472">
        <v>107.7</v>
      </c>
      <c r="U472">
        <v>78.8</v>
      </c>
      <c r="V472">
        <v>0</v>
      </c>
      <c r="W472">
        <v>-35</v>
      </c>
    </row>
    <row r="473" spans="1:23" x14ac:dyDescent="0.3">
      <c r="A473">
        <v>117503828</v>
      </c>
      <c r="B473" t="s">
        <v>341</v>
      </c>
      <c r="C473" t="s">
        <v>111</v>
      </c>
      <c r="D473" t="s">
        <v>44</v>
      </c>
      <c r="E473">
        <v>1000</v>
      </c>
      <c r="F473" t="s">
        <v>360</v>
      </c>
      <c r="G473" t="s">
        <v>31</v>
      </c>
      <c r="H473" t="s">
        <v>319</v>
      </c>
      <c r="I473" s="1">
        <v>528150</v>
      </c>
      <c r="J473">
        <v>5</v>
      </c>
      <c r="K473" s="7">
        <f>Таблица1[[#This Row],[Штуки]]/SUMIFS(Таблица1[Штуки],Таблица1[Ветка],Таблица1[[#This Row],[Ветка]],Таблица1[Месяц],Таблица1[[#This Row],[Месяц]])</f>
        <v>0.5</v>
      </c>
      <c r="L473" s="1">
        <v>2666986</v>
      </c>
      <c r="M473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0.48534105806725875</v>
      </c>
      <c r="N473" t="s">
        <v>23</v>
      </c>
      <c r="O473">
        <v>1</v>
      </c>
      <c r="P473">
        <v>4.8</v>
      </c>
      <c r="Q473">
        <v>6</v>
      </c>
      <c r="R473" t="s">
        <v>345</v>
      </c>
      <c r="S473">
        <v>200</v>
      </c>
      <c r="T473">
        <v>85</v>
      </c>
      <c r="U473">
        <v>75</v>
      </c>
      <c r="V473">
        <v>9</v>
      </c>
      <c r="W473">
        <v>-18</v>
      </c>
    </row>
    <row r="474" spans="1:23" x14ac:dyDescent="0.3">
      <c r="A474">
        <v>141583677</v>
      </c>
      <c r="B474" t="s">
        <v>343</v>
      </c>
      <c r="C474" t="s">
        <v>143</v>
      </c>
      <c r="D474" t="s">
        <v>38</v>
      </c>
      <c r="E474">
        <v>660</v>
      </c>
      <c r="F474" t="s">
        <v>356</v>
      </c>
      <c r="G474" t="s">
        <v>180</v>
      </c>
      <c r="H474" t="s">
        <v>319</v>
      </c>
      <c r="I474" s="1">
        <v>279900</v>
      </c>
      <c r="J474">
        <v>9</v>
      </c>
      <c r="K474" s="7">
        <f>Таблица1[[#This Row],[Штуки]]/SUMIFS(Таблица1[Штуки],Таблица1[Ветка],Таблица1[[#This Row],[Ветка]],Таблица1[Месяц],Таблица1[[#This Row],[Месяц]])</f>
        <v>9.5744680851063829E-2</v>
      </c>
      <c r="L474" s="1">
        <v>2481491</v>
      </c>
      <c r="M474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9.1172014899284406E-2</v>
      </c>
      <c r="N474" t="s">
        <v>23</v>
      </c>
      <c r="O474">
        <v>2</v>
      </c>
      <c r="P474">
        <v>4.5999999999999996</v>
      </c>
      <c r="Q474">
        <v>14</v>
      </c>
      <c r="R474" t="s">
        <v>344</v>
      </c>
      <c r="S474">
        <v>180</v>
      </c>
      <c r="T474">
        <v>84</v>
      </c>
      <c r="U474">
        <v>67.400000000000006</v>
      </c>
      <c r="V474">
        <v>2</v>
      </c>
      <c r="W474">
        <v>-24</v>
      </c>
    </row>
    <row r="475" spans="1:23" x14ac:dyDescent="0.3">
      <c r="A475">
        <v>119915136</v>
      </c>
      <c r="B475" t="s">
        <v>346</v>
      </c>
      <c r="C475" t="s">
        <v>322</v>
      </c>
      <c r="D475" t="s">
        <v>62</v>
      </c>
      <c r="E475">
        <v>1400</v>
      </c>
      <c r="F475" t="s">
        <v>364</v>
      </c>
      <c r="G475" t="s">
        <v>26</v>
      </c>
      <c r="H475" t="s">
        <v>319</v>
      </c>
      <c r="I475" s="1">
        <v>1299000</v>
      </c>
      <c r="J475">
        <v>2</v>
      </c>
      <c r="K475" s="7">
        <f>Таблица1[[#This Row],[Штуки]]/SUMIFS(Таблица1[Штуки],Таблица1[Ветка],Таблица1[[#This Row],[Ветка]],Таблица1[Месяц],Таблица1[[#This Row],[Месяц]])</f>
        <v>0.5</v>
      </c>
      <c r="L475" s="1">
        <v>2419400</v>
      </c>
      <c r="M475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0.52227786892323635</v>
      </c>
      <c r="N475" t="s">
        <v>57</v>
      </c>
      <c r="O475">
        <v>3</v>
      </c>
      <c r="P475">
        <v>5</v>
      </c>
      <c r="Q475">
        <v>1</v>
      </c>
      <c r="R475" t="s">
        <v>344</v>
      </c>
      <c r="S475">
        <v>147.4</v>
      </c>
      <c r="T475">
        <v>199.6</v>
      </c>
      <c r="U475">
        <v>96</v>
      </c>
      <c r="V475">
        <v>0</v>
      </c>
      <c r="W475">
        <v>-18</v>
      </c>
    </row>
    <row r="476" spans="1:23" x14ac:dyDescent="0.3">
      <c r="A476">
        <v>142956771</v>
      </c>
      <c r="B476" t="s">
        <v>343</v>
      </c>
      <c r="C476" t="s">
        <v>191</v>
      </c>
      <c r="D476" t="s">
        <v>30</v>
      </c>
      <c r="E476">
        <v>718</v>
      </c>
      <c r="F476" t="s">
        <v>357</v>
      </c>
      <c r="G476" t="s">
        <v>179</v>
      </c>
      <c r="H476" t="s">
        <v>319</v>
      </c>
      <c r="I476" s="1">
        <v>399990</v>
      </c>
      <c r="J476">
        <v>6</v>
      </c>
      <c r="K476" s="7">
        <f>Таблица1[[#This Row],[Штуки]]/SUMIFS(Таблица1[Штуки],Таблица1[Ветка],Таблица1[[#This Row],[Ветка]],Таблица1[Месяц],Таблица1[[#This Row],[Месяц]])</f>
        <v>4.6875E-2</v>
      </c>
      <c r="L476" s="1">
        <v>2399940</v>
      </c>
      <c r="M476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4.7864552375370704E-2</v>
      </c>
      <c r="N476" t="s">
        <v>23</v>
      </c>
      <c r="O476">
        <v>2</v>
      </c>
      <c r="P476">
        <v>4.9000000000000004</v>
      </c>
      <c r="Q476">
        <v>10</v>
      </c>
      <c r="R476" t="s">
        <v>342</v>
      </c>
      <c r="S476">
        <v>197</v>
      </c>
      <c r="T476">
        <v>86.4</v>
      </c>
      <c r="U476">
        <v>93.5</v>
      </c>
      <c r="V476">
        <v>0</v>
      </c>
      <c r="W476">
        <v>-35</v>
      </c>
    </row>
    <row r="477" spans="1:23" x14ac:dyDescent="0.3">
      <c r="A477">
        <v>106635013</v>
      </c>
      <c r="B477" t="s">
        <v>343</v>
      </c>
      <c r="C477" t="s">
        <v>224</v>
      </c>
      <c r="D477" t="s">
        <v>203</v>
      </c>
      <c r="E477">
        <v>850</v>
      </c>
      <c r="F477" t="s">
        <v>358</v>
      </c>
      <c r="G477" t="s">
        <v>225</v>
      </c>
      <c r="H477" t="s">
        <v>319</v>
      </c>
      <c r="I477" s="1">
        <v>382475</v>
      </c>
      <c r="J477">
        <v>6</v>
      </c>
      <c r="K477" s="7">
        <f>Таблица1[[#This Row],[Штуки]]/SUMIFS(Таблица1[Штуки],Таблица1[Ветка],Таблица1[[#This Row],[Ветка]],Таблица1[Месяц],Таблица1[[#This Row],[Месяц]])</f>
        <v>0.35294117647058826</v>
      </c>
      <c r="L477" s="1">
        <v>2370109</v>
      </c>
      <c r="M477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0.29314623465412931</v>
      </c>
      <c r="N477" t="s">
        <v>23</v>
      </c>
      <c r="O477">
        <v>4</v>
      </c>
      <c r="P477">
        <v>4.8</v>
      </c>
      <c r="Q477">
        <v>15</v>
      </c>
      <c r="R477" t="s">
        <v>344</v>
      </c>
      <c r="S477">
        <v>200.1</v>
      </c>
      <c r="T477">
        <v>87</v>
      </c>
      <c r="U477">
        <v>85.5</v>
      </c>
      <c r="V477">
        <v>0</v>
      </c>
      <c r="W477">
        <v>-18</v>
      </c>
    </row>
    <row r="478" spans="1:23" x14ac:dyDescent="0.3">
      <c r="A478">
        <v>145109215</v>
      </c>
      <c r="B478" t="s">
        <v>341</v>
      </c>
      <c r="C478" t="s">
        <v>40</v>
      </c>
      <c r="D478" t="s">
        <v>41</v>
      </c>
      <c r="E478">
        <v>1240</v>
      </c>
      <c r="F478" t="s">
        <v>362</v>
      </c>
      <c r="G478" t="s">
        <v>186</v>
      </c>
      <c r="H478" t="s">
        <v>319</v>
      </c>
      <c r="I478" s="1">
        <v>554830</v>
      </c>
      <c r="J478">
        <v>4</v>
      </c>
      <c r="K478" s="7">
        <f>Таблица1[[#This Row],[Штуки]]/SUMIFS(Таблица1[Штуки],Таблица1[Ветка],Таблица1[[#This Row],[Ветка]],Таблица1[Месяц],Таблица1[[#This Row],[Месяц]])</f>
        <v>0.5</v>
      </c>
      <c r="L478" s="1">
        <v>2199883</v>
      </c>
      <c r="M478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0.47652894319971112</v>
      </c>
      <c r="N478" t="s">
        <v>23</v>
      </c>
      <c r="O478">
        <v>3</v>
      </c>
      <c r="P478">
        <v>4.9000000000000004</v>
      </c>
      <c r="Q478">
        <v>3</v>
      </c>
      <c r="R478" t="s">
        <v>342</v>
      </c>
      <c r="S478">
        <v>250</v>
      </c>
      <c r="T478">
        <v>80</v>
      </c>
      <c r="U478">
        <v>76</v>
      </c>
      <c r="V478">
        <v>9</v>
      </c>
      <c r="W478">
        <v>-25</v>
      </c>
    </row>
    <row r="479" spans="1:23" x14ac:dyDescent="0.3">
      <c r="A479">
        <v>124524012</v>
      </c>
      <c r="B479" t="s">
        <v>347</v>
      </c>
      <c r="C479" t="s">
        <v>244</v>
      </c>
      <c r="D479" t="s">
        <v>52</v>
      </c>
      <c r="E479">
        <v>120</v>
      </c>
      <c r="F479" t="s">
        <v>351</v>
      </c>
      <c r="G479" t="s">
        <v>185</v>
      </c>
      <c r="H479" t="s">
        <v>319</v>
      </c>
      <c r="I479" s="1">
        <v>1999990</v>
      </c>
      <c r="J479">
        <v>1</v>
      </c>
      <c r="K479" s="7">
        <f>Таблица1[[#This Row],[Штуки]]/SUMIFS(Таблица1[Штуки],Таблица1[Ветка],Таблица1[[#This Row],[Ветка]],Таблица1[Месяц],Таблица1[[#This Row],[Месяц]])</f>
        <v>1.3698630136986301E-2</v>
      </c>
      <c r="L479" s="1">
        <v>2127707</v>
      </c>
      <c r="M479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7.0556875528855645E-2</v>
      </c>
      <c r="N479" t="s">
        <v>23</v>
      </c>
      <c r="O479">
        <v>1</v>
      </c>
      <c r="P479">
        <v>5</v>
      </c>
      <c r="Q479">
        <v>1</v>
      </c>
      <c r="R479" t="s">
        <v>344</v>
      </c>
      <c r="S479">
        <v>80</v>
      </c>
      <c r="T479">
        <v>120</v>
      </c>
      <c r="U479">
        <v>82</v>
      </c>
      <c r="V479">
        <v>0</v>
      </c>
      <c r="W479">
        <v>-40</v>
      </c>
    </row>
    <row r="480" spans="1:23" x14ac:dyDescent="0.3">
      <c r="A480">
        <v>110555379</v>
      </c>
      <c r="B480" t="s">
        <v>341</v>
      </c>
      <c r="C480" t="s">
        <v>86</v>
      </c>
      <c r="D480" t="s">
        <v>87</v>
      </c>
      <c r="E480">
        <v>800</v>
      </c>
      <c r="F480" t="s">
        <v>358</v>
      </c>
      <c r="G480" t="s">
        <v>199</v>
      </c>
      <c r="H480" t="s">
        <v>319</v>
      </c>
      <c r="I480" s="1">
        <v>530000</v>
      </c>
      <c r="J480">
        <v>4</v>
      </c>
      <c r="K480" s="7">
        <f>Таблица1[[#This Row],[Штуки]]/SUMIFS(Таблица1[Штуки],Таблица1[Ветка],Таблица1[[#This Row],[Ветка]],Таблица1[Месяц],Таблица1[[#This Row],[Месяц]])</f>
        <v>0.23529411764705882</v>
      </c>
      <c r="L480" s="1">
        <v>2120000</v>
      </c>
      <c r="M480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0.2622115765421566</v>
      </c>
      <c r="N480" t="s">
        <v>23</v>
      </c>
      <c r="O480">
        <v>1</v>
      </c>
      <c r="P480">
        <v>4.8</v>
      </c>
      <c r="Q480">
        <v>41</v>
      </c>
      <c r="R480" t="s">
        <v>344</v>
      </c>
      <c r="S480">
        <v>200</v>
      </c>
      <c r="T480">
        <v>84</v>
      </c>
      <c r="U480">
        <v>60</v>
      </c>
      <c r="V480">
        <v>9</v>
      </c>
      <c r="W480">
        <v>-22</v>
      </c>
    </row>
    <row r="481" spans="1:23" x14ac:dyDescent="0.3">
      <c r="A481">
        <v>143487775</v>
      </c>
      <c r="B481" t="s">
        <v>343</v>
      </c>
      <c r="C481" t="s">
        <v>210</v>
      </c>
      <c r="D481" t="s">
        <v>52</v>
      </c>
      <c r="E481">
        <v>1250</v>
      </c>
      <c r="F481" t="s">
        <v>362</v>
      </c>
      <c r="G481" t="s">
        <v>179</v>
      </c>
      <c r="H481" t="s">
        <v>319</v>
      </c>
      <c r="I481" s="1">
        <v>672200</v>
      </c>
      <c r="J481">
        <v>3</v>
      </c>
      <c r="K481" s="7">
        <f>Таблица1[[#This Row],[Штуки]]/SUMIFS(Таблица1[Штуки],Таблица1[Ветка],Таблица1[[#This Row],[Ветка]],Таблица1[Месяц],Таблица1[[#This Row],[Месяц]])</f>
        <v>0.375</v>
      </c>
      <c r="L481" s="1">
        <v>2016600</v>
      </c>
      <c r="M481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0.43682698891556387</v>
      </c>
      <c r="N481" t="s">
        <v>23</v>
      </c>
      <c r="O481">
        <v>2</v>
      </c>
      <c r="P481">
        <v>5</v>
      </c>
      <c r="Q481">
        <v>1</v>
      </c>
      <c r="R481" t="s">
        <v>344</v>
      </c>
      <c r="S481">
        <v>250</v>
      </c>
      <c r="T481">
        <v>80</v>
      </c>
      <c r="U481">
        <v>90</v>
      </c>
      <c r="V481">
        <v>3</v>
      </c>
      <c r="W481">
        <v>-18</v>
      </c>
    </row>
    <row r="482" spans="1:23" x14ac:dyDescent="0.3">
      <c r="A482">
        <v>116138932</v>
      </c>
      <c r="B482" t="s">
        <v>341</v>
      </c>
      <c r="C482" t="s">
        <v>164</v>
      </c>
      <c r="D482" t="s">
        <v>165</v>
      </c>
      <c r="E482">
        <v>338</v>
      </c>
      <c r="F482" t="s">
        <v>353</v>
      </c>
      <c r="G482" t="s">
        <v>185</v>
      </c>
      <c r="H482" t="s">
        <v>319</v>
      </c>
      <c r="I482" s="1">
        <v>224000</v>
      </c>
      <c r="J482">
        <v>10</v>
      </c>
      <c r="K482" s="7">
        <f>Таблица1[[#This Row],[Штуки]]/SUMIFS(Таблица1[Штуки],Таблица1[Ветка],Таблица1[[#This Row],[Ветка]],Таблица1[Месяц],Таблица1[[#This Row],[Месяц]])</f>
        <v>5.4054054054054057E-2</v>
      </c>
      <c r="L482" s="1">
        <v>1993709</v>
      </c>
      <c r="M482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4.8382483586382669E-2</v>
      </c>
      <c r="N482" t="s">
        <v>23</v>
      </c>
      <c r="O482">
        <v>2</v>
      </c>
      <c r="P482">
        <v>4.9000000000000004</v>
      </c>
      <c r="Q482">
        <v>82</v>
      </c>
      <c r="R482" t="s">
        <v>344</v>
      </c>
      <c r="S482">
        <v>130</v>
      </c>
      <c r="T482">
        <v>85</v>
      </c>
      <c r="U482">
        <v>65</v>
      </c>
      <c r="V482">
        <v>5</v>
      </c>
      <c r="W482">
        <v>-24</v>
      </c>
    </row>
    <row r="483" spans="1:23" x14ac:dyDescent="0.3">
      <c r="A483">
        <v>148808069</v>
      </c>
      <c r="B483" t="s">
        <v>341</v>
      </c>
      <c r="C483" t="s">
        <v>73</v>
      </c>
      <c r="D483" t="s">
        <v>74</v>
      </c>
      <c r="E483">
        <v>420</v>
      </c>
      <c r="F483" t="s">
        <v>354</v>
      </c>
      <c r="G483" t="s">
        <v>179</v>
      </c>
      <c r="H483" t="s">
        <v>319</v>
      </c>
      <c r="I483" s="1">
        <v>224998</v>
      </c>
      <c r="J483">
        <v>8</v>
      </c>
      <c r="K483" s="7">
        <f>Таблица1[[#This Row],[Штуки]]/SUMIFS(Таблица1[Штуки],Таблица1[Ветка],Таблица1[[#This Row],[Ветка]],Таблица1[Месяц],Таблица1[[#This Row],[Месяц]])</f>
        <v>0.22222222222222221</v>
      </c>
      <c r="L483" s="1">
        <v>1988984</v>
      </c>
      <c r="M483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0.22088537433875449</v>
      </c>
      <c r="N483" t="s">
        <v>23</v>
      </c>
      <c r="O483">
        <v>6</v>
      </c>
      <c r="P483">
        <v>5</v>
      </c>
      <c r="Q483">
        <v>13</v>
      </c>
      <c r="R483" t="s">
        <v>342</v>
      </c>
      <c r="S483">
        <v>139.30000000000001</v>
      </c>
      <c r="T483">
        <v>89</v>
      </c>
      <c r="U483">
        <v>77.599999999999994</v>
      </c>
      <c r="V483">
        <v>6</v>
      </c>
      <c r="W483">
        <v>0</v>
      </c>
    </row>
    <row r="484" spans="1:23" x14ac:dyDescent="0.3">
      <c r="A484">
        <v>117503807</v>
      </c>
      <c r="B484" t="s">
        <v>341</v>
      </c>
      <c r="C484" t="s">
        <v>43</v>
      </c>
      <c r="D484" t="s">
        <v>44</v>
      </c>
      <c r="E484">
        <v>700</v>
      </c>
      <c r="F484" t="s">
        <v>357</v>
      </c>
      <c r="G484" t="s">
        <v>180</v>
      </c>
      <c r="H484" t="s">
        <v>319</v>
      </c>
      <c r="I484" s="1">
        <v>393010</v>
      </c>
      <c r="J484">
        <v>5</v>
      </c>
      <c r="K484" s="7">
        <f>Таблица1[[#This Row],[Штуки]]/SUMIFS(Таблица1[Штуки],Таблица1[Ветка],Таблица1[[#This Row],[Ветка]],Таблица1[Месяц],Таблица1[[#This Row],[Месяц]])</f>
        <v>3.90625E-2</v>
      </c>
      <c r="L484" s="1">
        <v>1969693</v>
      </c>
      <c r="M484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3.9283679492779423E-2</v>
      </c>
      <c r="N484" t="s">
        <v>23</v>
      </c>
      <c r="O484">
        <v>3</v>
      </c>
      <c r="P484">
        <v>4.9000000000000004</v>
      </c>
      <c r="Q484">
        <v>8</v>
      </c>
      <c r="R484" t="s">
        <v>345</v>
      </c>
      <c r="S484">
        <v>200</v>
      </c>
      <c r="T484">
        <v>85</v>
      </c>
      <c r="U484">
        <v>75</v>
      </c>
      <c r="V484">
        <v>7</v>
      </c>
      <c r="W484">
        <v>-24</v>
      </c>
    </row>
    <row r="485" spans="1:23" x14ac:dyDescent="0.3">
      <c r="A485">
        <v>153608532</v>
      </c>
      <c r="B485" t="s">
        <v>343</v>
      </c>
      <c r="C485" t="s">
        <v>90</v>
      </c>
      <c r="D485" t="s">
        <v>91</v>
      </c>
      <c r="E485">
        <v>720</v>
      </c>
      <c r="F485" t="s">
        <v>357</v>
      </c>
      <c r="G485" t="s">
        <v>180</v>
      </c>
      <c r="H485" t="s">
        <v>319</v>
      </c>
      <c r="I485" s="1">
        <v>278000</v>
      </c>
      <c r="J485">
        <v>7</v>
      </c>
      <c r="K485" s="7">
        <f>Таблица1[[#This Row],[Штуки]]/SUMIFS(Таблица1[Штуки],Таблица1[Ветка],Таблица1[[#This Row],[Ветка]],Таблица1[Месяц],Таблица1[[#This Row],[Месяц]])</f>
        <v>5.46875E-2</v>
      </c>
      <c r="L485" s="1">
        <v>1915228</v>
      </c>
      <c r="M485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3.8197426150977307E-2</v>
      </c>
      <c r="N485" t="s">
        <v>23</v>
      </c>
      <c r="O485">
        <v>2</v>
      </c>
      <c r="P485">
        <v>5</v>
      </c>
      <c r="Q485">
        <v>1</v>
      </c>
      <c r="R485" t="s">
        <v>342</v>
      </c>
      <c r="S485">
        <v>180</v>
      </c>
      <c r="T485">
        <v>80.599999999999994</v>
      </c>
      <c r="U485">
        <v>71</v>
      </c>
      <c r="V485">
        <v>0</v>
      </c>
      <c r="W485">
        <v>-18</v>
      </c>
    </row>
    <row r="486" spans="1:23" x14ac:dyDescent="0.3">
      <c r="A486">
        <v>102055246</v>
      </c>
      <c r="B486" t="s">
        <v>346</v>
      </c>
      <c r="C486" t="s">
        <v>61</v>
      </c>
      <c r="D486" t="s">
        <v>62</v>
      </c>
      <c r="E486">
        <v>700</v>
      </c>
      <c r="F486" t="s">
        <v>357</v>
      </c>
      <c r="G486" t="s">
        <v>179</v>
      </c>
      <c r="H486" t="s">
        <v>319</v>
      </c>
      <c r="I486" s="1">
        <v>598900</v>
      </c>
      <c r="J486">
        <v>3</v>
      </c>
      <c r="K486" s="7">
        <f>Таблица1[[#This Row],[Штуки]]/SUMIFS(Таблица1[Штуки],Таблица1[Ветка],Таблица1[[#This Row],[Ветка]],Таблица1[Месяц],Таблица1[[#This Row],[Месяц]])</f>
        <v>2.34375E-2</v>
      </c>
      <c r="L486" s="1">
        <v>1898460</v>
      </c>
      <c r="M486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3.7863004117830557E-2</v>
      </c>
      <c r="N486" t="s">
        <v>23</v>
      </c>
      <c r="O486">
        <v>3</v>
      </c>
      <c r="P486">
        <v>5</v>
      </c>
      <c r="Q486">
        <v>6</v>
      </c>
      <c r="R486" t="s">
        <v>344</v>
      </c>
      <c r="S486">
        <v>73</v>
      </c>
      <c r="T486">
        <v>199</v>
      </c>
      <c r="U486">
        <v>96</v>
      </c>
      <c r="V486">
        <v>0</v>
      </c>
      <c r="W486">
        <v>-18</v>
      </c>
    </row>
    <row r="487" spans="1:23" x14ac:dyDescent="0.3">
      <c r="A487">
        <v>100021583</v>
      </c>
      <c r="B487" t="s">
        <v>341</v>
      </c>
      <c r="C487" t="s">
        <v>323</v>
      </c>
      <c r="D487" t="s">
        <v>223</v>
      </c>
      <c r="E487">
        <v>518</v>
      </c>
      <c r="F487" t="s">
        <v>355</v>
      </c>
      <c r="G487" t="s">
        <v>26</v>
      </c>
      <c r="H487" t="s">
        <v>319</v>
      </c>
      <c r="I487" s="1">
        <v>600000</v>
      </c>
      <c r="J487">
        <v>3</v>
      </c>
      <c r="K487" s="7">
        <f>Таблица1[[#This Row],[Штуки]]/SUMIFS(Таблица1[Штуки],Таблица1[Ветка],Таблица1[[#This Row],[Ветка]],Таблица1[Месяц],Таблица1[[#This Row],[Месяц]])</f>
        <v>2.8037383177570093E-2</v>
      </c>
      <c r="L487" s="1">
        <v>1840562</v>
      </c>
      <c r="M487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5.6382147620920468E-2</v>
      </c>
      <c r="N487" t="s">
        <v>57</v>
      </c>
      <c r="O487">
        <v>1</v>
      </c>
      <c r="P487">
        <v>5</v>
      </c>
      <c r="Q487">
        <v>3</v>
      </c>
      <c r="R487" t="s">
        <v>344</v>
      </c>
      <c r="S487">
        <v>160</v>
      </c>
      <c r="T487">
        <v>83</v>
      </c>
      <c r="U487">
        <v>64</v>
      </c>
      <c r="V487">
        <v>6</v>
      </c>
      <c r="W487">
        <v>0</v>
      </c>
    </row>
    <row r="488" spans="1:23" x14ac:dyDescent="0.3">
      <c r="A488">
        <v>117232074</v>
      </c>
      <c r="B488" t="s">
        <v>341</v>
      </c>
      <c r="C488" t="s">
        <v>113</v>
      </c>
      <c r="D488" t="s">
        <v>25</v>
      </c>
      <c r="E488">
        <v>410</v>
      </c>
      <c r="F488" t="s">
        <v>354</v>
      </c>
      <c r="G488" t="s">
        <v>179</v>
      </c>
      <c r="H488" t="s">
        <v>319</v>
      </c>
      <c r="I488" s="1">
        <v>262188</v>
      </c>
      <c r="J488">
        <v>7</v>
      </c>
      <c r="K488" s="7">
        <f>Таблица1[[#This Row],[Штуки]]/SUMIFS(Таблица1[Штуки],Таблица1[Ветка],Таблица1[[#This Row],[Ветка]],Таблица1[Месяц],Таблица1[[#This Row],[Месяц]])</f>
        <v>0.19444444444444445</v>
      </c>
      <c r="L488" s="1">
        <v>1802102</v>
      </c>
      <c r="M488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0.20013131069260393</v>
      </c>
      <c r="N488" t="s">
        <v>23</v>
      </c>
      <c r="O488">
        <v>4</v>
      </c>
      <c r="P488">
        <v>5</v>
      </c>
      <c r="Q488">
        <v>55</v>
      </c>
      <c r="R488" t="s">
        <v>344</v>
      </c>
      <c r="S488">
        <v>132</v>
      </c>
      <c r="T488">
        <v>88.5</v>
      </c>
      <c r="U488">
        <v>66.5</v>
      </c>
      <c r="V488">
        <v>5</v>
      </c>
      <c r="W488">
        <v>-25</v>
      </c>
    </row>
    <row r="489" spans="1:23" x14ac:dyDescent="0.3">
      <c r="A489">
        <v>132088486</v>
      </c>
      <c r="B489" t="s">
        <v>341</v>
      </c>
      <c r="C489" t="s">
        <v>64</v>
      </c>
      <c r="D489" t="s">
        <v>25</v>
      </c>
      <c r="E489">
        <v>680</v>
      </c>
      <c r="F489" t="s">
        <v>356</v>
      </c>
      <c r="G489" t="s">
        <v>179</v>
      </c>
      <c r="H489" t="s">
        <v>319</v>
      </c>
      <c r="I489" s="1">
        <v>365940</v>
      </c>
      <c r="J489">
        <v>5</v>
      </c>
      <c r="K489" s="7">
        <f>Таблица1[[#This Row],[Штуки]]/SUMIFS(Таблица1[Штуки],Таблица1[Ветка],Таблица1[[#This Row],[Ветка]],Таблица1[Месяц],Таблица1[[#This Row],[Месяц]])</f>
        <v>5.3191489361702128E-2</v>
      </c>
      <c r="L489" s="1">
        <v>1763732</v>
      </c>
      <c r="M489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6.480096046382787E-2</v>
      </c>
      <c r="N489" t="s">
        <v>23</v>
      </c>
      <c r="O489">
        <v>3</v>
      </c>
      <c r="P489">
        <v>5</v>
      </c>
      <c r="Q489">
        <v>18</v>
      </c>
      <c r="R489" t="s">
        <v>344</v>
      </c>
      <c r="S489">
        <v>202.5</v>
      </c>
      <c r="T489">
        <v>88.5</v>
      </c>
      <c r="U489">
        <v>66.5</v>
      </c>
      <c r="V489">
        <v>6</v>
      </c>
      <c r="W489">
        <v>-25</v>
      </c>
    </row>
    <row r="490" spans="1:23" x14ac:dyDescent="0.3">
      <c r="A490">
        <v>120309401</v>
      </c>
      <c r="B490" t="s">
        <v>343</v>
      </c>
      <c r="C490" t="s">
        <v>79</v>
      </c>
      <c r="D490" t="s">
        <v>30</v>
      </c>
      <c r="E490">
        <v>550</v>
      </c>
      <c r="F490" t="s">
        <v>355</v>
      </c>
      <c r="G490" t="s">
        <v>179</v>
      </c>
      <c r="H490" t="s">
        <v>319</v>
      </c>
      <c r="I490" s="1">
        <v>269990</v>
      </c>
      <c r="J490">
        <v>6</v>
      </c>
      <c r="K490" s="7">
        <f>Таблица1[[#This Row],[Штуки]]/SUMIFS(Таблица1[Штуки],Таблица1[Ветка],Таблица1[[#This Row],[Ветка]],Таблица1[Месяц],Таблица1[[#This Row],[Месяц]])</f>
        <v>5.6074766355140186E-2</v>
      </c>
      <c r="L490" s="1">
        <v>1701728</v>
      </c>
      <c r="M490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5.2129229717148215E-2</v>
      </c>
      <c r="N490" t="s">
        <v>23</v>
      </c>
      <c r="O490">
        <v>3</v>
      </c>
      <c r="P490">
        <v>5</v>
      </c>
      <c r="Q490">
        <v>53</v>
      </c>
      <c r="R490" t="s">
        <v>344</v>
      </c>
      <c r="S490">
        <v>165</v>
      </c>
      <c r="T490">
        <v>83.5</v>
      </c>
      <c r="U490">
        <v>73</v>
      </c>
      <c r="V490">
        <v>2</v>
      </c>
      <c r="W490">
        <v>-18</v>
      </c>
    </row>
    <row r="491" spans="1:23" x14ac:dyDescent="0.3">
      <c r="A491">
        <v>113954312</v>
      </c>
      <c r="B491" t="s">
        <v>343</v>
      </c>
      <c r="C491" t="s">
        <v>45</v>
      </c>
      <c r="D491" t="s">
        <v>46</v>
      </c>
      <c r="E491">
        <v>516</v>
      </c>
      <c r="F491" t="s">
        <v>355</v>
      </c>
      <c r="G491" t="s">
        <v>179</v>
      </c>
      <c r="H491" t="s">
        <v>319</v>
      </c>
      <c r="I491" s="1">
        <v>369990</v>
      </c>
      <c r="J491">
        <v>5</v>
      </c>
      <c r="K491" s="7">
        <f>Таблица1[[#This Row],[Штуки]]/SUMIFS(Таблица1[Штуки],Таблица1[Ветка],Таблица1[[#This Row],[Ветка]],Таблица1[Месяц],Таблица1[[#This Row],[Месяц]])</f>
        <v>4.6728971962616821E-2</v>
      </c>
      <c r="L491" s="1">
        <v>1676772</v>
      </c>
      <c r="M491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5.1364749696356904E-2</v>
      </c>
      <c r="N491" t="s">
        <v>23</v>
      </c>
      <c r="O491">
        <v>3</v>
      </c>
      <c r="P491">
        <v>5</v>
      </c>
      <c r="Q491">
        <v>34</v>
      </c>
      <c r="R491" t="s">
        <v>344</v>
      </c>
      <c r="S491">
        <v>165</v>
      </c>
      <c r="T491">
        <v>84.5</v>
      </c>
      <c r="U491">
        <v>74.5</v>
      </c>
      <c r="V491">
        <v>0</v>
      </c>
      <c r="W491">
        <v>-29</v>
      </c>
    </row>
    <row r="492" spans="1:23" x14ac:dyDescent="0.3">
      <c r="A492">
        <v>152779172</v>
      </c>
      <c r="B492" t="s">
        <v>347</v>
      </c>
      <c r="C492" t="s">
        <v>324</v>
      </c>
      <c r="D492" t="s">
        <v>321</v>
      </c>
      <c r="E492">
        <v>240</v>
      </c>
      <c r="F492" t="s">
        <v>352</v>
      </c>
      <c r="G492" t="s">
        <v>31</v>
      </c>
      <c r="H492" t="s">
        <v>319</v>
      </c>
      <c r="I492" s="1">
        <v>1900000</v>
      </c>
      <c r="J492">
        <v>1</v>
      </c>
      <c r="K492" s="7">
        <f>Таблица1[[#This Row],[Штуки]]/SUMIFS(Таблица1[Штуки],Таблица1[Ветка],Таблица1[[#This Row],[Ветка]],Таблица1[Месяц],Таблица1[[#This Row],[Месяц]])</f>
        <v>9.3457943925233638E-3</v>
      </c>
      <c r="L492" s="1">
        <v>1639706</v>
      </c>
      <c r="M492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8.1334881221845151E-2</v>
      </c>
      <c r="N492" t="s">
        <v>57</v>
      </c>
      <c r="O492">
        <v>1</v>
      </c>
      <c r="P492">
        <v>0</v>
      </c>
      <c r="Q492">
        <v>0</v>
      </c>
      <c r="R492" t="s">
        <v>344</v>
      </c>
      <c r="S492">
        <v>75</v>
      </c>
      <c r="T492">
        <v>143</v>
      </c>
      <c r="U492">
        <v>90</v>
      </c>
      <c r="V492">
        <v>0</v>
      </c>
      <c r="W492">
        <v>-35</v>
      </c>
    </row>
    <row r="493" spans="1:23" x14ac:dyDescent="0.3">
      <c r="A493">
        <v>121978807</v>
      </c>
      <c r="B493" t="s">
        <v>341</v>
      </c>
      <c r="C493" t="s">
        <v>58</v>
      </c>
      <c r="D493" t="s">
        <v>30</v>
      </c>
      <c r="E493">
        <v>900</v>
      </c>
      <c r="F493" t="s">
        <v>359</v>
      </c>
      <c r="G493" t="s">
        <v>180</v>
      </c>
      <c r="H493" t="s">
        <v>319</v>
      </c>
      <c r="I493" s="1">
        <v>519085</v>
      </c>
      <c r="J493">
        <v>3</v>
      </c>
      <c r="K493" s="7">
        <f>Таблица1[[#This Row],[Штуки]]/SUMIFS(Таблица1[Штуки],Таблица1[Ветка],Таблица1[[#This Row],[Ветка]],Таблица1[Месяц],Таблица1[[#This Row],[Месяц]])</f>
        <v>1</v>
      </c>
      <c r="L493" s="1">
        <v>1620247</v>
      </c>
      <c r="M493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1</v>
      </c>
      <c r="N493" t="s">
        <v>23</v>
      </c>
      <c r="O493">
        <v>6</v>
      </c>
      <c r="P493">
        <v>4.8</v>
      </c>
      <c r="Q493">
        <v>13</v>
      </c>
      <c r="R493" t="s">
        <v>344</v>
      </c>
      <c r="S493">
        <v>214.5</v>
      </c>
      <c r="T493">
        <v>86</v>
      </c>
      <c r="U493">
        <v>89</v>
      </c>
      <c r="V493">
        <v>6</v>
      </c>
      <c r="W493">
        <v>-18</v>
      </c>
    </row>
    <row r="494" spans="1:23" x14ac:dyDescent="0.3">
      <c r="A494">
        <v>143080837</v>
      </c>
      <c r="B494" t="s">
        <v>343</v>
      </c>
      <c r="C494" t="s">
        <v>207</v>
      </c>
      <c r="D494" t="s">
        <v>30</v>
      </c>
      <c r="E494">
        <v>1800</v>
      </c>
      <c r="F494" t="s">
        <v>367</v>
      </c>
      <c r="G494" t="s">
        <v>179</v>
      </c>
      <c r="H494" t="s">
        <v>319</v>
      </c>
      <c r="I494" s="1">
        <v>839000</v>
      </c>
      <c r="J494">
        <v>2</v>
      </c>
      <c r="K494" s="7">
        <f>Таблица1[[#This Row],[Штуки]]/SUMIFS(Таблица1[Штуки],Таблица1[Ветка],Таблица1[[#This Row],[Ветка]],Таблица1[Месяц],Таблица1[[#This Row],[Месяц]])</f>
        <v>1</v>
      </c>
      <c r="L494" s="1">
        <v>1554479</v>
      </c>
      <c r="M494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1</v>
      </c>
      <c r="N494" t="s">
        <v>57</v>
      </c>
      <c r="O494">
        <v>1</v>
      </c>
      <c r="P494">
        <v>5</v>
      </c>
      <c r="Q494">
        <v>7</v>
      </c>
      <c r="R494" t="s">
        <v>344</v>
      </c>
      <c r="S494">
        <v>380.8</v>
      </c>
      <c r="T494">
        <v>93</v>
      </c>
      <c r="U494">
        <v>100</v>
      </c>
      <c r="V494">
        <v>0</v>
      </c>
      <c r="W494">
        <v>-35</v>
      </c>
    </row>
    <row r="495" spans="1:23" x14ac:dyDescent="0.3">
      <c r="A495">
        <v>162695715</v>
      </c>
      <c r="B495" t="s">
        <v>343</v>
      </c>
      <c r="C495" t="s">
        <v>289</v>
      </c>
      <c r="D495" t="s">
        <v>104</v>
      </c>
      <c r="E495">
        <v>550</v>
      </c>
      <c r="F495" t="s">
        <v>355</v>
      </c>
      <c r="G495" t="s">
        <v>31</v>
      </c>
      <c r="H495" t="s">
        <v>319</v>
      </c>
      <c r="I495" s="1">
        <v>219985</v>
      </c>
      <c r="J495">
        <v>8</v>
      </c>
      <c r="K495" s="7">
        <f>Таблица1[[#This Row],[Штуки]]/SUMIFS(Таблица1[Штуки],Таблица1[Ветка],Таблица1[[#This Row],[Ветка]],Таблица1[Месяц],Таблица1[[#This Row],[Месяц]])</f>
        <v>7.476635514018691E-2</v>
      </c>
      <c r="L495" s="1">
        <v>1517864</v>
      </c>
      <c r="M495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4.6496902639781124E-2</v>
      </c>
      <c r="N495" t="s">
        <v>57</v>
      </c>
      <c r="O495">
        <v>2</v>
      </c>
      <c r="P495">
        <v>5</v>
      </c>
      <c r="Q495">
        <v>0</v>
      </c>
      <c r="R495" t="s">
        <v>342</v>
      </c>
      <c r="S495">
        <v>153.5</v>
      </c>
      <c r="T495">
        <v>82.5</v>
      </c>
      <c r="U495">
        <v>74</v>
      </c>
      <c r="V495">
        <v>0</v>
      </c>
      <c r="W495">
        <v>-18</v>
      </c>
    </row>
    <row r="496" spans="1:23" x14ac:dyDescent="0.3">
      <c r="A496">
        <v>154651758</v>
      </c>
      <c r="B496" t="s">
        <v>343</v>
      </c>
      <c r="C496" t="s">
        <v>209</v>
      </c>
      <c r="D496" t="s">
        <v>38</v>
      </c>
      <c r="E496">
        <v>660</v>
      </c>
      <c r="F496" t="s">
        <v>356</v>
      </c>
      <c r="G496" t="s">
        <v>185</v>
      </c>
      <c r="H496" t="s">
        <v>319</v>
      </c>
      <c r="I496" s="1">
        <v>600000</v>
      </c>
      <c r="J496">
        <v>6</v>
      </c>
      <c r="K496" s="7">
        <f>Таблица1[[#This Row],[Штуки]]/SUMIFS(Таблица1[Штуки],Таблица1[Ветка],Таблица1[[#This Row],[Ветка]],Таблица1[Месяц],Таблица1[[#This Row],[Месяц]])</f>
        <v>6.3829787234042548E-2</v>
      </c>
      <c r="L496" s="1">
        <v>1515478</v>
      </c>
      <c r="M496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5.5679904861850288E-2</v>
      </c>
      <c r="N496" t="s">
        <v>23</v>
      </c>
      <c r="O496">
        <v>1</v>
      </c>
      <c r="P496">
        <v>5</v>
      </c>
      <c r="Q496">
        <v>2</v>
      </c>
      <c r="R496" t="s">
        <v>344</v>
      </c>
      <c r="S496">
        <v>180</v>
      </c>
      <c r="T496">
        <v>84</v>
      </c>
      <c r="U496">
        <v>67.400000000000006</v>
      </c>
      <c r="V496">
        <v>2</v>
      </c>
      <c r="W496">
        <v>-24</v>
      </c>
    </row>
    <row r="497" spans="1:23" x14ac:dyDescent="0.3">
      <c r="A497">
        <v>135246793</v>
      </c>
      <c r="B497" t="s">
        <v>341</v>
      </c>
      <c r="C497" t="s">
        <v>281</v>
      </c>
      <c r="D497" t="s">
        <v>52</v>
      </c>
      <c r="E497">
        <v>365</v>
      </c>
      <c r="F497" t="s">
        <v>353</v>
      </c>
      <c r="G497" t="s">
        <v>180</v>
      </c>
      <c r="H497" t="s">
        <v>319</v>
      </c>
      <c r="I497" s="1">
        <v>217800</v>
      </c>
      <c r="J497">
        <v>7</v>
      </c>
      <c r="K497" s="7">
        <f>Таблица1[[#This Row],[Штуки]]/SUMIFS(Таблица1[Штуки],Таблица1[Ветка],Таблица1[[#This Row],[Ветка]],Таблица1[Месяц],Таблица1[[#This Row],[Месяц]])</f>
        <v>3.783783783783784E-2</v>
      </c>
      <c r="L497" s="1">
        <v>1501200</v>
      </c>
      <c r="M497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3.6430484268204465E-2</v>
      </c>
      <c r="N497" t="s">
        <v>57</v>
      </c>
      <c r="O497">
        <v>6</v>
      </c>
      <c r="P497">
        <v>5</v>
      </c>
      <c r="Q497">
        <v>9</v>
      </c>
      <c r="R497" t="s">
        <v>344</v>
      </c>
      <c r="S497">
        <v>128</v>
      </c>
      <c r="T497">
        <v>91</v>
      </c>
      <c r="U497">
        <v>65</v>
      </c>
      <c r="V497">
        <v>3</v>
      </c>
      <c r="W497">
        <v>-20</v>
      </c>
    </row>
    <row r="498" spans="1:23" x14ac:dyDescent="0.3">
      <c r="A498">
        <v>143852360</v>
      </c>
      <c r="B498" t="s">
        <v>341</v>
      </c>
      <c r="C498" t="s">
        <v>137</v>
      </c>
      <c r="D498" t="s">
        <v>130</v>
      </c>
      <c r="E498">
        <v>105</v>
      </c>
      <c r="F498" t="s">
        <v>351</v>
      </c>
      <c r="G498" t="s">
        <v>179</v>
      </c>
      <c r="H498" t="s">
        <v>319</v>
      </c>
      <c r="I498" s="1">
        <v>555555</v>
      </c>
      <c r="J498">
        <v>16</v>
      </c>
      <c r="K498" s="7">
        <f>Таблица1[[#This Row],[Штуки]]/SUMIFS(Таблица1[Штуки],Таблица1[Ветка],Таблица1[[#This Row],[Ветка]],Таблица1[Месяц],Таблица1[[#This Row],[Месяц]])</f>
        <v>0.21917808219178081</v>
      </c>
      <c r="L498" s="1">
        <v>1460361</v>
      </c>
      <c r="M498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4.8427019934697384E-2</v>
      </c>
      <c r="N498" t="s">
        <v>23</v>
      </c>
      <c r="O498">
        <v>1</v>
      </c>
      <c r="P498">
        <v>4.7</v>
      </c>
      <c r="Q498">
        <v>9</v>
      </c>
      <c r="R498" t="s">
        <v>344</v>
      </c>
      <c r="S498">
        <v>58</v>
      </c>
      <c r="T498">
        <v>78</v>
      </c>
      <c r="U498">
        <v>63</v>
      </c>
      <c r="V498">
        <v>2</v>
      </c>
      <c r="W498">
        <v>-18</v>
      </c>
    </row>
    <row r="499" spans="1:23" x14ac:dyDescent="0.3">
      <c r="A499">
        <v>140308862</v>
      </c>
      <c r="B499" t="s">
        <v>341</v>
      </c>
      <c r="C499" t="s">
        <v>166</v>
      </c>
      <c r="D499" t="s">
        <v>91</v>
      </c>
      <c r="E499">
        <v>420</v>
      </c>
      <c r="F499" t="s">
        <v>354</v>
      </c>
      <c r="G499" t="s">
        <v>179</v>
      </c>
      <c r="H499" t="s">
        <v>319</v>
      </c>
      <c r="I499" s="1">
        <v>224000</v>
      </c>
      <c r="J499">
        <v>6</v>
      </c>
      <c r="K499" s="7">
        <f>Таблица1[[#This Row],[Штуки]]/SUMIFS(Таблица1[Штуки],Таблица1[Ветка],Таблица1[[#This Row],[Ветка]],Таблица1[Месяц],Таблица1[[#This Row],[Месяц]])</f>
        <v>0.16666666666666666</v>
      </c>
      <c r="L499" s="1">
        <v>1388522</v>
      </c>
      <c r="M499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0.15420144241863989</v>
      </c>
      <c r="N499" t="s">
        <v>23</v>
      </c>
      <c r="O499">
        <v>4</v>
      </c>
      <c r="P499">
        <v>5</v>
      </c>
      <c r="Q499">
        <v>10</v>
      </c>
      <c r="R499" t="s">
        <v>342</v>
      </c>
      <c r="S499">
        <v>131</v>
      </c>
      <c r="T499">
        <v>83</v>
      </c>
      <c r="U499">
        <v>69</v>
      </c>
      <c r="V499">
        <v>6</v>
      </c>
      <c r="W499">
        <v>-18</v>
      </c>
    </row>
    <row r="500" spans="1:23" x14ac:dyDescent="0.3">
      <c r="A500">
        <v>140081934</v>
      </c>
      <c r="B500" t="s">
        <v>341</v>
      </c>
      <c r="C500" t="s">
        <v>151</v>
      </c>
      <c r="D500" t="s">
        <v>91</v>
      </c>
      <c r="E500">
        <v>445</v>
      </c>
      <c r="F500" t="s">
        <v>354</v>
      </c>
      <c r="G500" t="s">
        <v>179</v>
      </c>
      <c r="H500" t="s">
        <v>319</v>
      </c>
      <c r="I500" s="1">
        <v>285979</v>
      </c>
      <c r="J500">
        <v>5</v>
      </c>
      <c r="K500" s="7">
        <f>Таблица1[[#This Row],[Штуки]]/SUMIFS(Таблица1[Штуки],Таблица1[Ветка],Таблица1[[#This Row],[Ветка]],Таблица1[Месяц],Таблица1[[#This Row],[Месяц]])</f>
        <v>0.1388888888888889</v>
      </c>
      <c r="L500" s="1">
        <v>1386585</v>
      </c>
      <c r="M500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0.15398633009491372</v>
      </c>
      <c r="N500" t="s">
        <v>57</v>
      </c>
      <c r="O500">
        <v>7</v>
      </c>
      <c r="P500">
        <v>5</v>
      </c>
      <c r="Q500">
        <v>2</v>
      </c>
      <c r="R500" t="s">
        <v>344</v>
      </c>
      <c r="S500">
        <v>153</v>
      </c>
      <c r="T500">
        <v>85</v>
      </c>
      <c r="U500">
        <v>68</v>
      </c>
      <c r="V500">
        <v>5</v>
      </c>
      <c r="W500">
        <v>-18</v>
      </c>
    </row>
    <row r="501" spans="1:23" x14ac:dyDescent="0.3">
      <c r="A501">
        <v>145145984</v>
      </c>
      <c r="B501" t="s">
        <v>343</v>
      </c>
      <c r="C501" t="s">
        <v>236</v>
      </c>
      <c r="D501" t="s">
        <v>30</v>
      </c>
      <c r="E501">
        <v>1080</v>
      </c>
      <c r="F501" t="s">
        <v>360</v>
      </c>
      <c r="G501" t="s">
        <v>179</v>
      </c>
      <c r="H501" t="s">
        <v>319</v>
      </c>
      <c r="I501" s="1">
        <v>458990</v>
      </c>
      <c r="J501">
        <v>3</v>
      </c>
      <c r="K501" s="7">
        <f>Таблица1[[#This Row],[Штуки]]/SUMIFS(Таблица1[Штуки],Таблица1[Ветка],Таблица1[[#This Row],[Ветка]],Таблица1[Месяц],Таблица1[[#This Row],[Месяц]])</f>
        <v>0.3</v>
      </c>
      <c r="L501" s="1">
        <v>1329021</v>
      </c>
      <c r="M501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0.24185670953413566</v>
      </c>
      <c r="N501" t="s">
        <v>23</v>
      </c>
      <c r="O501">
        <v>2</v>
      </c>
      <c r="P501">
        <v>5</v>
      </c>
      <c r="Q501">
        <v>8</v>
      </c>
      <c r="R501" t="s">
        <v>344</v>
      </c>
      <c r="S501">
        <v>260</v>
      </c>
      <c r="T501">
        <v>93.5</v>
      </c>
      <c r="U501">
        <v>86.4</v>
      </c>
      <c r="V501">
        <v>1</v>
      </c>
      <c r="W501">
        <v>-35</v>
      </c>
    </row>
    <row r="502" spans="1:23" x14ac:dyDescent="0.3">
      <c r="A502">
        <v>122939001</v>
      </c>
      <c r="B502" t="s">
        <v>341</v>
      </c>
      <c r="C502" t="s">
        <v>212</v>
      </c>
      <c r="D502" t="s">
        <v>25</v>
      </c>
      <c r="E502">
        <v>590</v>
      </c>
      <c r="F502" t="s">
        <v>355</v>
      </c>
      <c r="G502" t="s">
        <v>179</v>
      </c>
      <c r="H502" t="s">
        <v>319</v>
      </c>
      <c r="I502" s="1">
        <v>385331</v>
      </c>
      <c r="J502">
        <v>4</v>
      </c>
      <c r="K502" s="7">
        <f>Таблица1[[#This Row],[Штуки]]/SUMIFS(Таблица1[Штуки],Таблица1[Ветка],Таблица1[[#This Row],[Ветка]],Таблица1[Месяц],Таблица1[[#This Row],[Месяц]])</f>
        <v>3.7383177570093455E-2</v>
      </c>
      <c r="L502" s="1">
        <v>1325274</v>
      </c>
      <c r="M502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4.0597270999927063E-2</v>
      </c>
      <c r="N502" t="s">
        <v>23</v>
      </c>
      <c r="O502">
        <v>2</v>
      </c>
      <c r="P502">
        <v>5</v>
      </c>
      <c r="Q502">
        <v>10</v>
      </c>
      <c r="R502" t="s">
        <v>344</v>
      </c>
      <c r="S502">
        <v>179</v>
      </c>
      <c r="T502">
        <v>88.5</v>
      </c>
      <c r="U502">
        <v>66.5</v>
      </c>
      <c r="V502">
        <v>5</v>
      </c>
      <c r="W502">
        <v>-25</v>
      </c>
    </row>
    <row r="503" spans="1:23" x14ac:dyDescent="0.3">
      <c r="A503">
        <v>116903955</v>
      </c>
      <c r="B503" t="s">
        <v>343</v>
      </c>
      <c r="C503" t="s">
        <v>75</v>
      </c>
      <c r="D503" t="s">
        <v>30</v>
      </c>
      <c r="E503">
        <v>750</v>
      </c>
      <c r="F503" t="s">
        <v>357</v>
      </c>
      <c r="G503" t="s">
        <v>179</v>
      </c>
      <c r="H503" t="s">
        <v>319</v>
      </c>
      <c r="I503" s="1">
        <v>309990</v>
      </c>
      <c r="J503">
        <v>4</v>
      </c>
      <c r="K503" s="7">
        <f>Таблица1[[#This Row],[Штуки]]/SUMIFS(Таблица1[Штуки],Таблица1[Ветка],Таблица1[[#This Row],[Ветка]],Таблица1[Месяц],Таблица1[[#This Row],[Месяц]])</f>
        <v>3.125E-2</v>
      </c>
      <c r="L503" s="1">
        <v>1269303</v>
      </c>
      <c r="M503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2.5315057844660767E-2</v>
      </c>
      <c r="N503" t="s">
        <v>23</v>
      </c>
      <c r="O503">
        <v>3</v>
      </c>
      <c r="P503">
        <v>4.9000000000000004</v>
      </c>
      <c r="Q503">
        <v>25</v>
      </c>
      <c r="R503" t="s">
        <v>342</v>
      </c>
      <c r="S503">
        <v>188</v>
      </c>
      <c r="T503">
        <v>95.2</v>
      </c>
      <c r="U503">
        <v>73.5</v>
      </c>
      <c r="V503">
        <v>1</v>
      </c>
      <c r="W503">
        <v>-18</v>
      </c>
    </row>
    <row r="504" spans="1:23" x14ac:dyDescent="0.3">
      <c r="A504">
        <v>118087013</v>
      </c>
      <c r="B504" t="s">
        <v>341</v>
      </c>
      <c r="C504" t="s">
        <v>102</v>
      </c>
      <c r="D504" t="s">
        <v>25</v>
      </c>
      <c r="E504">
        <v>500</v>
      </c>
      <c r="F504" t="s">
        <v>355</v>
      </c>
      <c r="G504" t="s">
        <v>179</v>
      </c>
      <c r="H504" t="s">
        <v>319</v>
      </c>
      <c r="I504" s="1">
        <v>341553</v>
      </c>
      <c r="J504">
        <v>4</v>
      </c>
      <c r="K504" s="7">
        <f>Таблица1[[#This Row],[Штуки]]/SUMIFS(Таблица1[Штуки],Таблица1[Ветка],Таблица1[[#This Row],[Ветка]],Таблица1[Месяц],Таблица1[[#This Row],[Месяц]])</f>
        <v>3.7383177570093455E-2</v>
      </c>
      <c r="L504" s="1">
        <v>1208608</v>
      </c>
      <c r="M504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3.7023427992007578E-2</v>
      </c>
      <c r="N504" t="s">
        <v>23</v>
      </c>
      <c r="O504">
        <v>3</v>
      </c>
      <c r="P504">
        <v>5</v>
      </c>
      <c r="Q504">
        <v>13</v>
      </c>
      <c r="R504" t="s">
        <v>344</v>
      </c>
      <c r="S504">
        <v>155.5</v>
      </c>
      <c r="T504">
        <v>88.5</v>
      </c>
      <c r="U504">
        <v>66.5</v>
      </c>
      <c r="V504">
        <v>6</v>
      </c>
      <c r="W504">
        <v>-25</v>
      </c>
    </row>
    <row r="505" spans="1:23" x14ac:dyDescent="0.3">
      <c r="A505">
        <v>122620734</v>
      </c>
      <c r="B505" t="s">
        <v>341</v>
      </c>
      <c r="C505" t="s">
        <v>308</v>
      </c>
      <c r="D505" t="s">
        <v>52</v>
      </c>
      <c r="E505">
        <v>730</v>
      </c>
      <c r="F505" t="s">
        <v>357</v>
      </c>
      <c r="G505" t="s">
        <v>31</v>
      </c>
      <c r="H505" t="s">
        <v>319</v>
      </c>
      <c r="I505" s="1">
        <v>999999</v>
      </c>
      <c r="J505">
        <v>3</v>
      </c>
      <c r="K505" s="7">
        <f>Таблица1[[#This Row],[Штуки]]/SUMIFS(Таблица1[Штуки],Таблица1[Ветка],Таблица1[[#This Row],[Ветка]],Таблица1[Месяц],Таблица1[[#This Row],[Месяц]])</f>
        <v>2.34375E-2</v>
      </c>
      <c r="L505" s="1">
        <v>1153204</v>
      </c>
      <c r="M505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2.2999572179924078E-2</v>
      </c>
      <c r="N505" t="s">
        <v>57</v>
      </c>
      <c r="O505">
        <v>1</v>
      </c>
      <c r="P505">
        <v>4.5999999999999996</v>
      </c>
      <c r="Q505">
        <v>2</v>
      </c>
      <c r="R505" t="s">
        <v>345</v>
      </c>
      <c r="S505">
        <v>190</v>
      </c>
      <c r="T505">
        <v>94</v>
      </c>
      <c r="U505">
        <v>83</v>
      </c>
      <c r="V505">
        <v>6</v>
      </c>
      <c r="W505">
        <v>-20</v>
      </c>
    </row>
    <row r="506" spans="1:23" x14ac:dyDescent="0.3">
      <c r="A506">
        <v>114694121</v>
      </c>
      <c r="B506" t="s">
        <v>346</v>
      </c>
      <c r="C506" t="s">
        <v>53</v>
      </c>
      <c r="D506" t="s">
        <v>54</v>
      </c>
      <c r="E506">
        <v>1400</v>
      </c>
      <c r="F506" t="s">
        <v>364</v>
      </c>
      <c r="G506" t="s">
        <v>197</v>
      </c>
      <c r="H506" t="s">
        <v>319</v>
      </c>
      <c r="I506" s="1">
        <v>1120000</v>
      </c>
      <c r="J506">
        <v>1</v>
      </c>
      <c r="K506" s="7">
        <f>Таблица1[[#This Row],[Штуки]]/SUMIFS(Таблица1[Штуки],Таблица1[Ветка],Таблица1[[#This Row],[Ветка]],Таблица1[Месяц],Таблица1[[#This Row],[Месяц]])</f>
        <v>0.25</v>
      </c>
      <c r="L506" s="1">
        <v>1120000</v>
      </c>
      <c r="M506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0.24177532164752613</v>
      </c>
      <c r="N506" t="s">
        <v>23</v>
      </c>
      <c r="O506">
        <v>1</v>
      </c>
      <c r="P506">
        <v>4.33</v>
      </c>
      <c r="Q506">
        <v>5</v>
      </c>
      <c r="R506" t="s">
        <v>344</v>
      </c>
      <c r="S506">
        <v>160</v>
      </c>
      <c r="T506">
        <v>198</v>
      </c>
      <c r="U506">
        <v>72.5</v>
      </c>
      <c r="V506">
        <v>0</v>
      </c>
      <c r="W506">
        <v>-18</v>
      </c>
    </row>
    <row r="507" spans="1:23" x14ac:dyDescent="0.3">
      <c r="A507">
        <v>117689613</v>
      </c>
      <c r="B507" t="s">
        <v>341</v>
      </c>
      <c r="C507" t="s">
        <v>163</v>
      </c>
      <c r="D507" t="s">
        <v>25</v>
      </c>
      <c r="E507">
        <v>320</v>
      </c>
      <c r="F507" t="s">
        <v>353</v>
      </c>
      <c r="G507" t="s">
        <v>179</v>
      </c>
      <c r="H507" t="s">
        <v>319</v>
      </c>
      <c r="I507" s="1">
        <v>254896</v>
      </c>
      <c r="J507">
        <v>5</v>
      </c>
      <c r="K507" s="7">
        <f>Таблица1[[#This Row],[Штуки]]/SUMIFS(Таблица1[Штуки],Таблица1[Ветка],Таблица1[[#This Row],[Ветка]],Таблица1[Месяц],Таблица1[[#This Row],[Месяц]])</f>
        <v>2.7027027027027029E-2</v>
      </c>
      <c r="L507" s="1">
        <v>1118443</v>
      </c>
      <c r="M507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2.7141899891009465E-2</v>
      </c>
      <c r="N507" t="s">
        <v>57</v>
      </c>
      <c r="O507">
        <v>3</v>
      </c>
      <c r="P507">
        <v>4.8</v>
      </c>
      <c r="Q507">
        <v>16</v>
      </c>
      <c r="R507" t="s">
        <v>344</v>
      </c>
      <c r="S507">
        <v>108.5</v>
      </c>
      <c r="T507">
        <v>88.5</v>
      </c>
      <c r="U507">
        <v>66.5</v>
      </c>
      <c r="V507">
        <v>4</v>
      </c>
      <c r="W507">
        <v>-25</v>
      </c>
    </row>
    <row r="508" spans="1:23" x14ac:dyDescent="0.3">
      <c r="A508">
        <v>119264283</v>
      </c>
      <c r="B508" t="s">
        <v>341</v>
      </c>
      <c r="C508" t="s">
        <v>142</v>
      </c>
      <c r="D508" t="s">
        <v>35</v>
      </c>
      <c r="E508">
        <v>105</v>
      </c>
      <c r="F508" t="s">
        <v>351</v>
      </c>
      <c r="G508" t="s">
        <v>179</v>
      </c>
      <c r="H508" t="s">
        <v>319</v>
      </c>
      <c r="I508" s="1">
        <v>86700</v>
      </c>
      <c r="J508">
        <v>12</v>
      </c>
      <c r="K508" s="7">
        <f>Таблица1[[#This Row],[Штуки]]/SUMIFS(Таблица1[Штуки],Таблица1[Ветка],Таблица1[[#This Row],[Ветка]],Таблица1[Месяц],Таблица1[[#This Row],[Месяц]])</f>
        <v>0.16438356164383561</v>
      </c>
      <c r="L508" s="1">
        <v>1116017</v>
      </c>
      <c r="M508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3.7008231188357651E-2</v>
      </c>
      <c r="N508" t="s">
        <v>57</v>
      </c>
      <c r="O508">
        <v>1</v>
      </c>
      <c r="P508">
        <v>4.9000000000000004</v>
      </c>
      <c r="Q508">
        <v>17</v>
      </c>
      <c r="R508" t="s">
        <v>344</v>
      </c>
      <c r="S508">
        <v>60</v>
      </c>
      <c r="T508">
        <v>80</v>
      </c>
      <c r="U508">
        <v>55</v>
      </c>
      <c r="V508">
        <v>1</v>
      </c>
      <c r="W508">
        <v>-18</v>
      </c>
    </row>
    <row r="509" spans="1:23" x14ac:dyDescent="0.3">
      <c r="A509">
        <v>145145986</v>
      </c>
      <c r="B509" t="s">
        <v>343</v>
      </c>
      <c r="C509" t="s">
        <v>117</v>
      </c>
      <c r="D509" t="s">
        <v>30</v>
      </c>
      <c r="E509">
        <v>1380</v>
      </c>
      <c r="F509" t="s">
        <v>363</v>
      </c>
      <c r="G509" t="s">
        <v>26</v>
      </c>
      <c r="H509" t="s">
        <v>319</v>
      </c>
      <c r="I509" s="1">
        <v>529990</v>
      </c>
      <c r="J509">
        <v>2</v>
      </c>
      <c r="K509" s="7">
        <f>Таблица1[[#This Row],[Штуки]]/SUMIFS(Таблица1[Штуки],Таблица1[Ветка],Таблица1[[#This Row],[Ветка]],Таблица1[Месяц],Таблица1[[#This Row],[Месяц]])</f>
        <v>0.66666666666666663</v>
      </c>
      <c r="L509" s="1">
        <v>1102966</v>
      </c>
      <c r="M509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0.6304766847908102</v>
      </c>
      <c r="N509" t="s">
        <v>57</v>
      </c>
      <c r="O509">
        <v>2</v>
      </c>
      <c r="P509">
        <v>4.8</v>
      </c>
      <c r="Q509">
        <v>4</v>
      </c>
      <c r="R509" t="s">
        <v>344</v>
      </c>
      <c r="S509">
        <v>260</v>
      </c>
      <c r="T509">
        <v>93.5</v>
      </c>
      <c r="U509">
        <v>100</v>
      </c>
      <c r="V509">
        <v>1</v>
      </c>
      <c r="W509">
        <v>-35</v>
      </c>
    </row>
    <row r="510" spans="1:23" x14ac:dyDescent="0.3">
      <c r="A510">
        <v>112338190</v>
      </c>
      <c r="B510" t="s">
        <v>346</v>
      </c>
      <c r="C510" t="s">
        <v>325</v>
      </c>
      <c r="D510" t="s">
        <v>54</v>
      </c>
      <c r="E510">
        <v>1400</v>
      </c>
      <c r="F510" t="s">
        <v>364</v>
      </c>
      <c r="G510" t="s">
        <v>31</v>
      </c>
      <c r="H510" t="s">
        <v>319</v>
      </c>
      <c r="I510" s="1">
        <v>1097500</v>
      </c>
      <c r="J510">
        <v>1</v>
      </c>
      <c r="K510" s="7">
        <f>Таблица1[[#This Row],[Штуки]]/SUMIFS(Таблица1[Штуки],Таблица1[Ветка],Таблица1[[#This Row],[Ветка]],Таблица1[Месяц],Таблица1[[#This Row],[Месяц]])</f>
        <v>0.25</v>
      </c>
      <c r="L510" s="1">
        <v>1093000</v>
      </c>
      <c r="M510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0.23594680942923754</v>
      </c>
      <c r="N510" t="s">
        <v>57</v>
      </c>
      <c r="O510">
        <v>2</v>
      </c>
      <c r="P510">
        <v>5</v>
      </c>
      <c r="Q510">
        <v>1</v>
      </c>
      <c r="R510" t="s">
        <v>345</v>
      </c>
      <c r="S510">
        <v>160</v>
      </c>
      <c r="T510">
        <v>198</v>
      </c>
      <c r="U510">
        <v>72.5</v>
      </c>
      <c r="V510">
        <v>0</v>
      </c>
      <c r="W510">
        <v>-18</v>
      </c>
    </row>
    <row r="511" spans="1:23" x14ac:dyDescent="0.3">
      <c r="A511">
        <v>152415627</v>
      </c>
      <c r="B511" t="s">
        <v>341</v>
      </c>
      <c r="C511" t="s">
        <v>56</v>
      </c>
      <c r="D511" t="s">
        <v>41</v>
      </c>
      <c r="E511">
        <v>1030</v>
      </c>
      <c r="F511" t="s">
        <v>360</v>
      </c>
      <c r="G511" t="s">
        <v>31</v>
      </c>
      <c r="H511" t="s">
        <v>319</v>
      </c>
      <c r="I511" s="1">
        <v>880000</v>
      </c>
      <c r="J511">
        <v>1</v>
      </c>
      <c r="K511" s="7">
        <f>Таблица1[[#This Row],[Штуки]]/SUMIFS(Таблица1[Штуки],Таблица1[Ветка],Таблица1[[#This Row],[Ветка]],Таблица1[Месяц],Таблица1[[#This Row],[Месяц]])</f>
        <v>0.1</v>
      </c>
      <c r="L511" s="1">
        <v>1039258</v>
      </c>
      <c r="M511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0.1891253187399046</v>
      </c>
      <c r="N511" t="s">
        <v>57</v>
      </c>
      <c r="O511">
        <v>1</v>
      </c>
      <c r="P511">
        <v>5</v>
      </c>
      <c r="Q511">
        <v>0</v>
      </c>
      <c r="R511" t="s">
        <v>344</v>
      </c>
      <c r="S511">
        <v>252</v>
      </c>
      <c r="T511">
        <v>94</v>
      </c>
      <c r="U511">
        <v>95</v>
      </c>
      <c r="V511">
        <v>0</v>
      </c>
      <c r="W511">
        <v>-24</v>
      </c>
    </row>
    <row r="512" spans="1:23" x14ac:dyDescent="0.3">
      <c r="A512">
        <v>145169183</v>
      </c>
      <c r="B512" t="s">
        <v>343</v>
      </c>
      <c r="C512" t="s">
        <v>147</v>
      </c>
      <c r="D512" t="s">
        <v>148</v>
      </c>
      <c r="E512">
        <v>700</v>
      </c>
      <c r="F512" t="s">
        <v>357</v>
      </c>
      <c r="G512" t="s">
        <v>179</v>
      </c>
      <c r="H512" t="s">
        <v>319</v>
      </c>
      <c r="I512" s="1">
        <v>309900</v>
      </c>
      <c r="J512">
        <v>3</v>
      </c>
      <c r="K512" s="7">
        <f>Таблица1[[#This Row],[Штуки]]/SUMIFS(Таблица1[Штуки],Таблица1[Ветка],Таблица1[[#This Row],[Ветка]],Таблица1[Месяц],Таблица1[[#This Row],[Месяц]])</f>
        <v>2.34375E-2</v>
      </c>
      <c r="L512" s="1">
        <v>945250</v>
      </c>
      <c r="M512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1.8852124691791945E-2</v>
      </c>
      <c r="N512" t="s">
        <v>23</v>
      </c>
      <c r="O512">
        <v>5</v>
      </c>
      <c r="P512">
        <v>5</v>
      </c>
      <c r="Q512">
        <v>4</v>
      </c>
      <c r="R512" t="s">
        <v>344</v>
      </c>
      <c r="S512">
        <v>203</v>
      </c>
      <c r="T512">
        <v>91</v>
      </c>
      <c r="U512">
        <v>76</v>
      </c>
      <c r="V512">
        <v>3</v>
      </c>
      <c r="W512">
        <v>-18</v>
      </c>
    </row>
    <row r="513" spans="1:23" x14ac:dyDescent="0.3">
      <c r="A513">
        <v>141167073</v>
      </c>
      <c r="B513" t="s">
        <v>343</v>
      </c>
      <c r="C513" t="s">
        <v>106</v>
      </c>
      <c r="D513" t="s">
        <v>107</v>
      </c>
      <c r="E513">
        <v>502</v>
      </c>
      <c r="F513" t="s">
        <v>355</v>
      </c>
      <c r="G513" t="s">
        <v>179</v>
      </c>
      <c r="H513" t="s">
        <v>319</v>
      </c>
      <c r="I513" s="1">
        <v>319982</v>
      </c>
      <c r="J513">
        <v>3</v>
      </c>
      <c r="K513" s="7">
        <f>Таблица1[[#This Row],[Штуки]]/SUMIFS(Таблица1[Штуки],Таблица1[Ветка],Таблица1[[#This Row],[Ветка]],Таблица1[Месяц],Таблица1[[#This Row],[Месяц]])</f>
        <v>2.8037383177570093E-2</v>
      </c>
      <c r="L513" s="1">
        <v>929970</v>
      </c>
      <c r="M513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2.8487878062802237E-2</v>
      </c>
      <c r="N513" t="s">
        <v>57</v>
      </c>
      <c r="O513">
        <v>5</v>
      </c>
      <c r="P513">
        <v>4.8</v>
      </c>
      <c r="Q513">
        <v>12</v>
      </c>
      <c r="R513" t="s">
        <v>344</v>
      </c>
      <c r="S513">
        <v>155</v>
      </c>
      <c r="T513">
        <v>89</v>
      </c>
      <c r="U513">
        <v>77</v>
      </c>
      <c r="V513">
        <v>4</v>
      </c>
      <c r="W513">
        <v>0</v>
      </c>
    </row>
    <row r="514" spans="1:23" x14ac:dyDescent="0.3">
      <c r="A514">
        <v>113187274</v>
      </c>
      <c r="B514" t="s">
        <v>341</v>
      </c>
      <c r="C514" t="s">
        <v>326</v>
      </c>
      <c r="D514" t="s">
        <v>87</v>
      </c>
      <c r="E514">
        <v>600</v>
      </c>
      <c r="F514" t="s">
        <v>356</v>
      </c>
      <c r="G514" t="s">
        <v>26</v>
      </c>
      <c r="H514" t="s">
        <v>319</v>
      </c>
      <c r="I514" s="1">
        <v>440000</v>
      </c>
      <c r="J514">
        <v>2</v>
      </c>
      <c r="K514" s="7">
        <f>Таблица1[[#This Row],[Штуки]]/SUMIFS(Таблица1[Штуки],Таблица1[Ветка],Таблица1[[#This Row],[Ветка]],Таблица1[Месяц],Таблица1[[#This Row],[Месяц]])</f>
        <v>2.1276595744680851E-2</v>
      </c>
      <c r="L514" s="1">
        <v>880000</v>
      </c>
      <c r="M514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3.2331921861239989E-2</v>
      </c>
      <c r="N514" t="s">
        <v>57</v>
      </c>
      <c r="O514">
        <v>1</v>
      </c>
      <c r="P514">
        <v>4.5999999999999996</v>
      </c>
      <c r="Q514">
        <v>27</v>
      </c>
      <c r="R514" t="s">
        <v>344</v>
      </c>
      <c r="S514">
        <v>160</v>
      </c>
      <c r="T514">
        <v>84</v>
      </c>
      <c r="U514">
        <v>60</v>
      </c>
      <c r="V514">
        <v>7</v>
      </c>
      <c r="W514">
        <v>-22</v>
      </c>
    </row>
    <row r="515" spans="1:23" x14ac:dyDescent="0.3">
      <c r="A515">
        <v>122074021</v>
      </c>
      <c r="B515" t="s">
        <v>341</v>
      </c>
      <c r="C515" t="s">
        <v>234</v>
      </c>
      <c r="D515" t="s">
        <v>52</v>
      </c>
      <c r="E515">
        <v>366</v>
      </c>
      <c r="F515" t="s">
        <v>353</v>
      </c>
      <c r="G515" t="s">
        <v>180</v>
      </c>
      <c r="H515" t="s">
        <v>319</v>
      </c>
      <c r="I515" s="1">
        <v>217800</v>
      </c>
      <c r="J515">
        <v>4</v>
      </c>
      <c r="K515" s="7">
        <f>Таблица1[[#This Row],[Штуки]]/SUMIFS(Таблица1[Штуки],Таблица1[Ветка],Таблица1[[#This Row],[Ветка]],Таблица1[Месяц],Таблица1[[#This Row],[Месяц]])</f>
        <v>2.1621621621621623E-2</v>
      </c>
      <c r="L515" s="1">
        <v>865600</v>
      </c>
      <c r="M515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2.1006013311056348E-2</v>
      </c>
      <c r="N515" t="s">
        <v>57</v>
      </c>
      <c r="O515">
        <v>4</v>
      </c>
      <c r="P515">
        <v>5</v>
      </c>
      <c r="Q515">
        <v>4</v>
      </c>
      <c r="R515" t="s">
        <v>342</v>
      </c>
      <c r="S515">
        <v>139</v>
      </c>
      <c r="T515">
        <v>100</v>
      </c>
      <c r="U515">
        <v>72</v>
      </c>
      <c r="V515">
        <v>4</v>
      </c>
      <c r="W515">
        <v>-18</v>
      </c>
    </row>
    <row r="516" spans="1:23" x14ac:dyDescent="0.3">
      <c r="A516">
        <v>133958993</v>
      </c>
      <c r="B516" t="s">
        <v>341</v>
      </c>
      <c r="C516" t="s">
        <v>238</v>
      </c>
      <c r="D516" t="s">
        <v>46</v>
      </c>
      <c r="E516">
        <v>800</v>
      </c>
      <c r="F516" t="s">
        <v>358</v>
      </c>
      <c r="G516" t="s">
        <v>180</v>
      </c>
      <c r="H516" t="s">
        <v>319</v>
      </c>
      <c r="I516" s="1">
        <v>693240</v>
      </c>
      <c r="J516">
        <v>1</v>
      </c>
      <c r="K516" s="7">
        <f>Таблица1[[#This Row],[Штуки]]/SUMIFS(Таблица1[Штуки],Таблица1[Ветка],Таблица1[[#This Row],[Ветка]],Таблица1[Месяц],Таблица1[[#This Row],[Месяц]])</f>
        <v>5.8823529411764705E-2</v>
      </c>
      <c r="L516" s="1">
        <v>864654</v>
      </c>
      <c r="M516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0.10694447570918955</v>
      </c>
      <c r="N516" t="s">
        <v>23</v>
      </c>
      <c r="O516">
        <v>2</v>
      </c>
      <c r="P516">
        <v>5</v>
      </c>
      <c r="Q516">
        <v>0</v>
      </c>
      <c r="R516" t="s">
        <v>345</v>
      </c>
      <c r="S516">
        <v>250</v>
      </c>
      <c r="T516">
        <v>81</v>
      </c>
      <c r="U516">
        <v>86</v>
      </c>
      <c r="V516">
        <v>0</v>
      </c>
      <c r="W516">
        <v>0</v>
      </c>
    </row>
    <row r="517" spans="1:23" x14ac:dyDescent="0.3">
      <c r="A517">
        <v>162467614</v>
      </c>
      <c r="B517" t="s">
        <v>341</v>
      </c>
      <c r="C517" t="s">
        <v>307</v>
      </c>
      <c r="D517" t="s">
        <v>52</v>
      </c>
      <c r="E517">
        <v>669</v>
      </c>
      <c r="F517" t="s">
        <v>356</v>
      </c>
      <c r="G517" t="s">
        <v>26</v>
      </c>
      <c r="H517" t="s">
        <v>319</v>
      </c>
      <c r="I517" s="1">
        <v>398900</v>
      </c>
      <c r="J517">
        <v>2</v>
      </c>
      <c r="K517" s="7">
        <f>Таблица1[[#This Row],[Штуки]]/SUMIFS(Таблица1[Штуки],Таблица1[Ветка],Таблица1[[#This Row],[Ветка]],Таблица1[Месяц],Таблица1[[#This Row],[Месяц]])</f>
        <v>2.1276595744680851E-2</v>
      </c>
      <c r="L517" s="1">
        <v>852581</v>
      </c>
      <c r="M517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3.1324525309520283E-2</v>
      </c>
      <c r="N517" t="s">
        <v>57</v>
      </c>
      <c r="O517">
        <v>1</v>
      </c>
      <c r="P517">
        <v>0</v>
      </c>
      <c r="Q517">
        <v>0</v>
      </c>
      <c r="R517" t="s">
        <v>344</v>
      </c>
      <c r="S517">
        <v>200</v>
      </c>
      <c r="T517">
        <v>84</v>
      </c>
      <c r="U517">
        <v>67</v>
      </c>
      <c r="V517">
        <v>7</v>
      </c>
      <c r="W517">
        <v>-26</v>
      </c>
    </row>
    <row r="518" spans="1:23" x14ac:dyDescent="0.3">
      <c r="A518">
        <v>122652103</v>
      </c>
      <c r="B518" t="s">
        <v>343</v>
      </c>
      <c r="C518" t="s">
        <v>189</v>
      </c>
      <c r="D518" t="s">
        <v>71</v>
      </c>
      <c r="E518">
        <v>1700</v>
      </c>
      <c r="F518" t="s">
        <v>366</v>
      </c>
      <c r="G518" t="s">
        <v>179</v>
      </c>
      <c r="H518" t="s">
        <v>319</v>
      </c>
      <c r="I518" s="1">
        <v>850400</v>
      </c>
      <c r="J518">
        <v>1</v>
      </c>
      <c r="K518" s="7">
        <f>Таблица1[[#This Row],[Штуки]]/SUMIFS(Таблица1[Штуки],Таблица1[Ветка],Таблица1[[#This Row],[Ветка]],Таблица1[Месяц],Таблица1[[#This Row],[Месяц]])</f>
        <v>1</v>
      </c>
      <c r="L518" s="1">
        <v>850400</v>
      </c>
      <c r="M518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1</v>
      </c>
      <c r="N518" t="s">
        <v>23</v>
      </c>
      <c r="O518">
        <v>2</v>
      </c>
      <c r="P518">
        <v>5</v>
      </c>
      <c r="Q518">
        <v>1</v>
      </c>
      <c r="R518" t="s">
        <v>344</v>
      </c>
      <c r="S518">
        <v>265</v>
      </c>
      <c r="T518">
        <v>90</v>
      </c>
      <c r="U518">
        <v>110</v>
      </c>
      <c r="V518">
        <v>2</v>
      </c>
      <c r="W518">
        <v>-18</v>
      </c>
    </row>
    <row r="519" spans="1:23" x14ac:dyDescent="0.3">
      <c r="A519">
        <v>140330902</v>
      </c>
      <c r="B519" t="s">
        <v>341</v>
      </c>
      <c r="C519" t="s">
        <v>272</v>
      </c>
      <c r="D519" t="s">
        <v>91</v>
      </c>
      <c r="E519">
        <v>330</v>
      </c>
      <c r="F519" t="s">
        <v>353</v>
      </c>
      <c r="G519" t="s">
        <v>179</v>
      </c>
      <c r="H519" t="s">
        <v>319</v>
      </c>
      <c r="I519" s="1">
        <v>201980</v>
      </c>
      <c r="J519">
        <v>4</v>
      </c>
      <c r="K519" s="7">
        <f>Таблица1[[#This Row],[Штуки]]/SUMIFS(Таблица1[Штуки],Таблица1[Ветка],Таблица1[[#This Row],[Ветка]],Таблица1[Месяц],Таблица1[[#This Row],[Месяц]])</f>
        <v>2.1621621621621623E-2</v>
      </c>
      <c r="L519" s="1">
        <v>842253</v>
      </c>
      <c r="M519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2.0439438226983759E-2</v>
      </c>
      <c r="N519" t="s">
        <v>57</v>
      </c>
      <c r="O519">
        <v>4</v>
      </c>
      <c r="P519">
        <v>4.8</v>
      </c>
      <c r="Q519">
        <v>4</v>
      </c>
      <c r="R519" t="s">
        <v>342</v>
      </c>
      <c r="S519">
        <v>122.4</v>
      </c>
      <c r="T519">
        <v>82</v>
      </c>
      <c r="U519">
        <v>65.400000000000006</v>
      </c>
      <c r="V519">
        <v>6</v>
      </c>
      <c r="W519">
        <v>0</v>
      </c>
    </row>
    <row r="520" spans="1:23" x14ac:dyDescent="0.3">
      <c r="A520">
        <v>142298659</v>
      </c>
      <c r="B520" t="s">
        <v>341</v>
      </c>
      <c r="C520" t="s">
        <v>227</v>
      </c>
      <c r="D520" t="s">
        <v>115</v>
      </c>
      <c r="E520">
        <v>700</v>
      </c>
      <c r="F520" t="s">
        <v>357</v>
      </c>
      <c r="G520" t="s">
        <v>180</v>
      </c>
      <c r="H520" t="s">
        <v>319</v>
      </c>
      <c r="I520" s="1">
        <v>381468</v>
      </c>
      <c r="J520">
        <v>2</v>
      </c>
      <c r="K520" s="7">
        <f>Таблица1[[#This Row],[Штуки]]/SUMIFS(Таблица1[Штуки],Таблица1[Ветка],Таблица1[[#This Row],[Ветка]],Таблица1[Месяц],Таблица1[[#This Row],[Месяц]])</f>
        <v>1.5625E-2</v>
      </c>
      <c r="L520" s="1">
        <v>777780</v>
      </c>
      <c r="M520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1.5512092613363594E-2</v>
      </c>
      <c r="N520" t="s">
        <v>57</v>
      </c>
      <c r="O520">
        <v>1</v>
      </c>
      <c r="P520">
        <v>5</v>
      </c>
      <c r="Q520">
        <v>0</v>
      </c>
      <c r="R520" t="s">
        <v>342</v>
      </c>
      <c r="S520">
        <v>200</v>
      </c>
      <c r="T520">
        <v>80</v>
      </c>
      <c r="U520">
        <v>76</v>
      </c>
      <c r="V520">
        <v>7</v>
      </c>
      <c r="W520">
        <v>-24</v>
      </c>
    </row>
    <row r="521" spans="1:23" x14ac:dyDescent="0.3">
      <c r="A521">
        <v>108699680</v>
      </c>
      <c r="B521" t="s">
        <v>343</v>
      </c>
      <c r="C521" t="s">
        <v>190</v>
      </c>
      <c r="D521" t="s">
        <v>133</v>
      </c>
      <c r="E521">
        <v>850</v>
      </c>
      <c r="F521" t="s">
        <v>358</v>
      </c>
      <c r="G521" t="s">
        <v>179</v>
      </c>
      <c r="H521" t="s">
        <v>319</v>
      </c>
      <c r="I521" s="1">
        <v>379345</v>
      </c>
      <c r="J521">
        <v>2</v>
      </c>
      <c r="K521" s="7">
        <f>Таблица1[[#This Row],[Штуки]]/SUMIFS(Таблица1[Штуки],Таблица1[Ветка],Таблица1[[#This Row],[Ветка]],Таблица1[Месяц],Таблица1[[#This Row],[Месяц]])</f>
        <v>0.11764705882352941</v>
      </c>
      <c r="L521" s="1">
        <v>777480</v>
      </c>
      <c r="M521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9.6162385155658434E-2</v>
      </c>
      <c r="N521" t="s">
        <v>23</v>
      </c>
      <c r="O521">
        <v>3</v>
      </c>
      <c r="P521">
        <v>4.9000000000000004</v>
      </c>
      <c r="Q521">
        <v>4</v>
      </c>
      <c r="R521" t="s">
        <v>344</v>
      </c>
      <c r="S521">
        <v>201</v>
      </c>
      <c r="T521">
        <v>78</v>
      </c>
      <c r="U521">
        <v>85</v>
      </c>
      <c r="V521">
        <v>1</v>
      </c>
      <c r="W521">
        <v>0</v>
      </c>
    </row>
    <row r="522" spans="1:23" x14ac:dyDescent="0.3">
      <c r="A522">
        <v>157686240</v>
      </c>
      <c r="B522" t="s">
        <v>343</v>
      </c>
      <c r="C522" t="s">
        <v>202</v>
      </c>
      <c r="D522" t="s">
        <v>203</v>
      </c>
      <c r="E522">
        <v>850</v>
      </c>
      <c r="F522" t="s">
        <v>358</v>
      </c>
      <c r="G522" t="s">
        <v>204</v>
      </c>
      <c r="H522" t="s">
        <v>319</v>
      </c>
      <c r="I522" s="1">
        <v>383435</v>
      </c>
      <c r="J522">
        <v>2</v>
      </c>
      <c r="K522" s="7">
        <f>Таблица1[[#This Row],[Штуки]]/SUMIFS(Таблица1[Штуки],Таблица1[Ветка],Таблица1[[#This Row],[Ветка]],Таблица1[Месяц],Таблица1[[#This Row],[Месяц]])</f>
        <v>0.11764705882352941</v>
      </c>
      <c r="L522" s="1">
        <v>767780</v>
      </c>
      <c r="M522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9.496264350827216E-2</v>
      </c>
      <c r="N522" t="s">
        <v>23</v>
      </c>
      <c r="O522">
        <v>2</v>
      </c>
      <c r="P522">
        <v>5</v>
      </c>
      <c r="Q522">
        <v>0</v>
      </c>
      <c r="R522" t="s">
        <v>344</v>
      </c>
      <c r="S522">
        <v>200</v>
      </c>
      <c r="T522">
        <v>87</v>
      </c>
      <c r="U522">
        <v>85.5</v>
      </c>
      <c r="V522">
        <v>3</v>
      </c>
      <c r="W522">
        <v>-18</v>
      </c>
    </row>
    <row r="523" spans="1:23" x14ac:dyDescent="0.3">
      <c r="A523">
        <v>129607134</v>
      </c>
      <c r="B523" t="s">
        <v>341</v>
      </c>
      <c r="C523" t="s">
        <v>286</v>
      </c>
      <c r="D523" t="s">
        <v>52</v>
      </c>
      <c r="E523">
        <v>246</v>
      </c>
      <c r="F523" t="s">
        <v>352</v>
      </c>
      <c r="G523" t="s">
        <v>180</v>
      </c>
      <c r="H523" t="s">
        <v>319</v>
      </c>
      <c r="I523" s="1">
        <v>183200</v>
      </c>
      <c r="J523">
        <v>4</v>
      </c>
      <c r="K523" s="7">
        <f>Таблица1[[#This Row],[Штуки]]/SUMIFS(Таблица1[Штуки],Таблица1[Ветка],Таблица1[[#This Row],[Ветка]],Таблица1[Месяц],Таблица1[[#This Row],[Месяц]])</f>
        <v>3.7383177570093455E-2</v>
      </c>
      <c r="L523" s="1">
        <v>743465</v>
      </c>
      <c r="M523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3.6878341280448507E-2</v>
      </c>
      <c r="N523" t="s">
        <v>57</v>
      </c>
      <c r="O523">
        <v>7</v>
      </c>
      <c r="P523">
        <v>5</v>
      </c>
      <c r="Q523">
        <v>2</v>
      </c>
      <c r="R523" t="s">
        <v>344</v>
      </c>
      <c r="S523">
        <v>103.3</v>
      </c>
      <c r="T523">
        <v>91</v>
      </c>
      <c r="U523">
        <v>62</v>
      </c>
      <c r="V523">
        <v>3</v>
      </c>
      <c r="W523">
        <v>-36</v>
      </c>
    </row>
    <row r="524" spans="1:23" x14ac:dyDescent="0.3">
      <c r="A524">
        <v>112587145</v>
      </c>
      <c r="B524" t="s">
        <v>341</v>
      </c>
      <c r="C524" t="s">
        <v>239</v>
      </c>
      <c r="D524" t="s">
        <v>46</v>
      </c>
      <c r="E524">
        <v>741</v>
      </c>
      <c r="F524" t="s">
        <v>357</v>
      </c>
      <c r="G524" t="s">
        <v>180</v>
      </c>
      <c r="H524" t="s">
        <v>319</v>
      </c>
      <c r="I524" s="1">
        <v>914170</v>
      </c>
      <c r="J524">
        <v>1</v>
      </c>
      <c r="K524" s="7">
        <f>Таблица1[[#This Row],[Штуки]]/SUMIFS(Таблица1[Штуки],Таблица1[Ветка],Таблица1[[#This Row],[Ветка]],Таблица1[Месяц],Таблица1[[#This Row],[Месяц]])</f>
        <v>7.8125E-3</v>
      </c>
      <c r="L524" s="1">
        <v>724330</v>
      </c>
      <c r="M524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1.444608249458414E-2</v>
      </c>
      <c r="N524" t="s">
        <v>23</v>
      </c>
      <c r="O524">
        <v>2</v>
      </c>
      <c r="P524">
        <v>5</v>
      </c>
      <c r="Q524">
        <v>0</v>
      </c>
      <c r="R524" t="s">
        <v>345</v>
      </c>
      <c r="S524">
        <v>250.4</v>
      </c>
      <c r="T524">
        <v>81</v>
      </c>
      <c r="U524">
        <v>86.4</v>
      </c>
      <c r="V524">
        <v>0</v>
      </c>
      <c r="W524">
        <v>-24</v>
      </c>
    </row>
    <row r="525" spans="1:23" x14ac:dyDescent="0.3">
      <c r="A525">
        <v>141950186</v>
      </c>
      <c r="B525" t="s">
        <v>346</v>
      </c>
      <c r="C525" t="s">
        <v>327</v>
      </c>
      <c r="D525" t="s">
        <v>100</v>
      </c>
      <c r="E525">
        <v>870</v>
      </c>
      <c r="F525" t="s">
        <v>358</v>
      </c>
      <c r="G525" t="s">
        <v>101</v>
      </c>
      <c r="H525" t="s">
        <v>319</v>
      </c>
      <c r="I525" s="1">
        <v>600000</v>
      </c>
      <c r="J525">
        <v>1</v>
      </c>
      <c r="K525" s="7">
        <f>Таблица1[[#This Row],[Штуки]]/SUMIFS(Таблица1[Штуки],Таблица1[Ветка],Таблица1[[#This Row],[Ветка]],Таблица1[Месяц],Таблица1[[#This Row],[Месяц]])</f>
        <v>5.8823529411764705E-2</v>
      </c>
      <c r="L525" s="1">
        <v>707061</v>
      </c>
      <c r="M525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8.7452631849751772E-2</v>
      </c>
      <c r="N525" t="s">
        <v>96</v>
      </c>
      <c r="O525">
        <v>1</v>
      </c>
      <c r="P525">
        <v>5</v>
      </c>
      <c r="Q525">
        <v>1</v>
      </c>
      <c r="R525" t="s">
        <v>342</v>
      </c>
      <c r="S525">
        <v>120</v>
      </c>
      <c r="T525">
        <v>197</v>
      </c>
      <c r="U525">
        <v>70</v>
      </c>
      <c r="V525">
        <v>0</v>
      </c>
      <c r="W525">
        <v>-14</v>
      </c>
    </row>
    <row r="526" spans="1:23" x14ac:dyDescent="0.3">
      <c r="A526">
        <v>116988507</v>
      </c>
      <c r="B526" t="s">
        <v>343</v>
      </c>
      <c r="C526" t="s">
        <v>149</v>
      </c>
      <c r="D526" t="s">
        <v>46</v>
      </c>
      <c r="E526">
        <v>516</v>
      </c>
      <c r="F526" t="s">
        <v>355</v>
      </c>
      <c r="G526" t="s">
        <v>26</v>
      </c>
      <c r="H526" t="s">
        <v>319</v>
      </c>
      <c r="I526" s="1">
        <v>330826</v>
      </c>
      <c r="J526">
        <v>2</v>
      </c>
      <c r="K526" s="7">
        <f>Таблица1[[#This Row],[Штуки]]/SUMIFS(Таблица1[Штуки],Таблица1[Ветка],Таблица1[[#This Row],[Ветка]],Таблица1[Месяц],Таблица1[[#This Row],[Месяц]])</f>
        <v>1.8691588785046728E-2</v>
      </c>
      <c r="L526" s="1">
        <v>665288</v>
      </c>
      <c r="M526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2.0379843888131417E-2</v>
      </c>
      <c r="N526" t="s">
        <v>96</v>
      </c>
      <c r="O526">
        <v>2</v>
      </c>
      <c r="P526">
        <v>5</v>
      </c>
      <c r="Q526">
        <v>4</v>
      </c>
      <c r="R526" t="s">
        <v>344</v>
      </c>
      <c r="S526">
        <v>164</v>
      </c>
      <c r="T526">
        <v>84.5</v>
      </c>
      <c r="U526">
        <v>74.5</v>
      </c>
      <c r="V526">
        <v>0</v>
      </c>
      <c r="W526">
        <v>-29</v>
      </c>
    </row>
    <row r="527" spans="1:23" x14ac:dyDescent="0.3">
      <c r="A527">
        <v>157672271</v>
      </c>
      <c r="B527" t="s">
        <v>343</v>
      </c>
      <c r="C527" t="s">
        <v>328</v>
      </c>
      <c r="D527" t="s">
        <v>203</v>
      </c>
      <c r="E527">
        <v>1388</v>
      </c>
      <c r="F527" t="s">
        <v>363</v>
      </c>
      <c r="G527" t="s">
        <v>26</v>
      </c>
      <c r="H527" t="s">
        <v>319</v>
      </c>
      <c r="I527" s="1">
        <v>643085</v>
      </c>
      <c r="J527">
        <v>1</v>
      </c>
      <c r="K527" s="7">
        <f>Таблица1[[#This Row],[Штуки]]/SUMIFS(Таблица1[Штуки],Таблица1[Ветка],Таблица1[[#This Row],[Ветка]],Таблица1[Месяц],Таблица1[[#This Row],[Месяц]])</f>
        <v>0.33333333333333331</v>
      </c>
      <c r="L527" s="1">
        <v>646450</v>
      </c>
      <c r="M527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0.3695233152091898</v>
      </c>
      <c r="N527" t="s">
        <v>96</v>
      </c>
      <c r="O527">
        <v>1</v>
      </c>
      <c r="P527">
        <v>0</v>
      </c>
      <c r="Q527">
        <v>0</v>
      </c>
      <c r="R527" t="s">
        <v>342</v>
      </c>
      <c r="S527">
        <v>255</v>
      </c>
      <c r="T527">
        <v>90</v>
      </c>
      <c r="U527">
        <v>90</v>
      </c>
      <c r="V527">
        <v>0</v>
      </c>
      <c r="W527">
        <v>-18</v>
      </c>
    </row>
    <row r="528" spans="1:23" x14ac:dyDescent="0.3">
      <c r="A528">
        <v>111545019</v>
      </c>
      <c r="B528" t="s">
        <v>341</v>
      </c>
      <c r="C528" t="s">
        <v>329</v>
      </c>
      <c r="D528" t="s">
        <v>71</v>
      </c>
      <c r="E528">
        <v>436</v>
      </c>
      <c r="F528" t="s">
        <v>354</v>
      </c>
      <c r="G528" t="s">
        <v>26</v>
      </c>
      <c r="H528" t="s">
        <v>319</v>
      </c>
      <c r="I528" s="1">
        <v>301100</v>
      </c>
      <c r="J528">
        <v>2</v>
      </c>
      <c r="K528" s="7">
        <f>Таблица1[[#This Row],[Штуки]]/SUMIFS(Таблица1[Штуки],Таблица1[Ветка],Таблица1[[#This Row],[Ветка]],Таблица1[Месяц],Таблица1[[#This Row],[Месяц]])</f>
        <v>5.5555555555555552E-2</v>
      </c>
      <c r="L528" s="1">
        <v>639819</v>
      </c>
      <c r="M528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7.1054698943806269E-2</v>
      </c>
      <c r="N528" t="s">
        <v>96</v>
      </c>
      <c r="O528">
        <v>1</v>
      </c>
      <c r="P528">
        <v>5</v>
      </c>
      <c r="Q528">
        <v>0</v>
      </c>
      <c r="R528" t="s">
        <v>344</v>
      </c>
      <c r="S528">
        <v>160</v>
      </c>
      <c r="T528">
        <v>89</v>
      </c>
      <c r="U528">
        <v>82.5</v>
      </c>
      <c r="V528">
        <v>4</v>
      </c>
      <c r="W528">
        <v>-18</v>
      </c>
    </row>
    <row r="529" spans="1:23" x14ac:dyDescent="0.3">
      <c r="A529">
        <v>117232021</v>
      </c>
      <c r="B529" t="s">
        <v>341</v>
      </c>
      <c r="C529" t="s">
        <v>60</v>
      </c>
      <c r="D529" t="s">
        <v>25</v>
      </c>
      <c r="E529">
        <v>230</v>
      </c>
      <c r="F529" t="s">
        <v>352</v>
      </c>
      <c r="G529" t="s">
        <v>179</v>
      </c>
      <c r="H529" t="s">
        <v>319</v>
      </c>
      <c r="I529" s="1">
        <v>196376</v>
      </c>
      <c r="J529">
        <v>3</v>
      </c>
      <c r="K529" s="7">
        <f>Таблица1[[#This Row],[Штуки]]/SUMIFS(Таблица1[Штуки],Таблица1[Ветка],Таблица1[[#This Row],[Ветка]],Таблица1[Месяц],Таблица1[[#This Row],[Месяц]])</f>
        <v>2.8037383177570093E-2</v>
      </c>
      <c r="L529" s="1">
        <v>631161</v>
      </c>
      <c r="M529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3.1307688675202144E-2</v>
      </c>
      <c r="N529" t="s">
        <v>96</v>
      </c>
      <c r="O529">
        <v>6</v>
      </c>
      <c r="P529">
        <v>5</v>
      </c>
      <c r="Q529">
        <v>18</v>
      </c>
      <c r="R529" t="s">
        <v>344</v>
      </c>
      <c r="S529">
        <v>88</v>
      </c>
      <c r="T529">
        <v>88.5</v>
      </c>
      <c r="U529">
        <v>66.5</v>
      </c>
      <c r="V529">
        <v>3</v>
      </c>
      <c r="W529">
        <v>-25</v>
      </c>
    </row>
    <row r="530" spans="1:23" x14ac:dyDescent="0.3">
      <c r="A530">
        <v>142950129</v>
      </c>
      <c r="B530" t="s">
        <v>341</v>
      </c>
      <c r="C530" t="s">
        <v>279</v>
      </c>
      <c r="D530" t="s">
        <v>52</v>
      </c>
      <c r="E530">
        <v>435</v>
      </c>
      <c r="F530" t="s">
        <v>354</v>
      </c>
      <c r="G530" t="s">
        <v>177</v>
      </c>
      <c r="H530" t="s">
        <v>319</v>
      </c>
      <c r="I530" s="1">
        <v>279900</v>
      </c>
      <c r="J530">
        <v>2</v>
      </c>
      <c r="K530" s="7">
        <f>Таблица1[[#This Row],[Штуки]]/SUMIFS(Таблица1[Штуки],Таблица1[Ветка],Таблица1[[#This Row],[Ветка]],Таблица1[Месяц],Таблица1[[#This Row],[Месяц]])</f>
        <v>5.5555555555555552E-2</v>
      </c>
      <c r="L530" s="1">
        <v>613525</v>
      </c>
      <c r="M530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6.8134635216363912E-2</v>
      </c>
      <c r="N530" t="s">
        <v>57</v>
      </c>
      <c r="O530">
        <v>2</v>
      </c>
      <c r="P530">
        <v>0</v>
      </c>
      <c r="Q530">
        <v>0</v>
      </c>
      <c r="R530" t="s">
        <v>344</v>
      </c>
      <c r="S530">
        <v>134</v>
      </c>
      <c r="T530">
        <v>90</v>
      </c>
      <c r="U530">
        <v>72</v>
      </c>
      <c r="V530">
        <v>4</v>
      </c>
      <c r="W530">
        <v>-18</v>
      </c>
    </row>
    <row r="531" spans="1:23" x14ac:dyDescent="0.3">
      <c r="A531">
        <v>103923411</v>
      </c>
      <c r="B531" t="s">
        <v>346</v>
      </c>
      <c r="C531" t="s">
        <v>145</v>
      </c>
      <c r="D531" t="s">
        <v>146</v>
      </c>
      <c r="E531">
        <v>96</v>
      </c>
      <c r="F531" t="s">
        <v>350</v>
      </c>
      <c r="G531" t="s">
        <v>26</v>
      </c>
      <c r="H531" t="s">
        <v>319</v>
      </c>
      <c r="I531" s="1">
        <v>309990</v>
      </c>
      <c r="J531">
        <v>2</v>
      </c>
      <c r="K531" s="7">
        <f>Таблица1[[#This Row],[Штуки]]/SUMIFS(Таблица1[Штуки],Таблица1[Ветка],Таблица1[[#This Row],[Ветка]],Таблица1[Месяц],Таблица1[[#This Row],[Месяц]])</f>
        <v>0.66666666666666663</v>
      </c>
      <c r="L531" s="1">
        <v>605820</v>
      </c>
      <c r="M531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0.71626015298944212</v>
      </c>
      <c r="N531" t="s">
        <v>57</v>
      </c>
      <c r="O531">
        <v>3</v>
      </c>
      <c r="P531">
        <v>4.9000000000000004</v>
      </c>
      <c r="Q531">
        <v>14</v>
      </c>
      <c r="R531" t="s">
        <v>344</v>
      </c>
      <c r="S531">
        <v>59.5</v>
      </c>
      <c r="T531">
        <v>81.8</v>
      </c>
      <c r="U531">
        <v>54.5</v>
      </c>
      <c r="V531">
        <v>0</v>
      </c>
      <c r="W531">
        <v>-24</v>
      </c>
    </row>
    <row r="532" spans="1:23" x14ac:dyDescent="0.3">
      <c r="A532">
        <v>140611569</v>
      </c>
      <c r="B532" t="s">
        <v>343</v>
      </c>
      <c r="C532" t="s">
        <v>105</v>
      </c>
      <c r="D532" t="s">
        <v>50</v>
      </c>
      <c r="E532">
        <v>138</v>
      </c>
      <c r="F532" t="s">
        <v>351</v>
      </c>
      <c r="G532" t="s">
        <v>179</v>
      </c>
      <c r="H532" t="s">
        <v>319</v>
      </c>
      <c r="I532" s="1">
        <v>585690</v>
      </c>
      <c r="J532">
        <v>1</v>
      </c>
      <c r="K532" s="7">
        <f>Таблица1[[#This Row],[Штуки]]/SUMIFS(Таблица1[Штуки],Таблица1[Ветка],Таблица1[[#This Row],[Ветка]],Таблица1[Месяц],Таблица1[[#This Row],[Месяц]])</f>
        <v>1.3698630136986301E-2</v>
      </c>
      <c r="L532" s="1">
        <v>599990</v>
      </c>
      <c r="M532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1.9896263794102337E-2</v>
      </c>
      <c r="N532" t="s">
        <v>57</v>
      </c>
      <c r="O532">
        <v>5</v>
      </c>
      <c r="P532">
        <v>5</v>
      </c>
      <c r="Q532">
        <v>2</v>
      </c>
      <c r="R532" t="s">
        <v>344</v>
      </c>
      <c r="S532">
        <v>260</v>
      </c>
      <c r="T532">
        <v>93</v>
      </c>
      <c r="U532">
        <v>89</v>
      </c>
      <c r="V532">
        <v>0</v>
      </c>
      <c r="W532">
        <v>-18</v>
      </c>
    </row>
    <row r="533" spans="1:23" x14ac:dyDescent="0.3">
      <c r="A533">
        <v>128436967</v>
      </c>
      <c r="B533" t="s">
        <v>341</v>
      </c>
      <c r="C533" t="s">
        <v>260</v>
      </c>
      <c r="D533" t="s">
        <v>216</v>
      </c>
      <c r="E533">
        <v>1100</v>
      </c>
      <c r="F533" t="s">
        <v>361</v>
      </c>
      <c r="G533" t="s">
        <v>180</v>
      </c>
      <c r="H533" t="s">
        <v>319</v>
      </c>
      <c r="I533" s="1">
        <v>501750</v>
      </c>
      <c r="J533">
        <v>1</v>
      </c>
      <c r="K533" s="7">
        <f>Таблица1[[#This Row],[Штуки]]/SUMIFS(Таблица1[Штуки],Таблица1[Ветка],Таблица1[[#This Row],[Ветка]],Таблица1[Месяц],Таблица1[[#This Row],[Месяц]])</f>
        <v>1</v>
      </c>
      <c r="L533" s="1">
        <v>585133</v>
      </c>
      <c r="M533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1</v>
      </c>
      <c r="N533" t="s">
        <v>57</v>
      </c>
      <c r="O533">
        <v>2</v>
      </c>
      <c r="P533">
        <v>5</v>
      </c>
      <c r="Q533">
        <v>1</v>
      </c>
      <c r="R533" t="s">
        <v>344</v>
      </c>
      <c r="S533">
        <v>250</v>
      </c>
      <c r="T533">
        <v>86</v>
      </c>
      <c r="U533">
        <v>77</v>
      </c>
      <c r="V533">
        <v>9</v>
      </c>
      <c r="W533">
        <v>-18</v>
      </c>
    </row>
    <row r="534" spans="1:23" x14ac:dyDescent="0.3">
      <c r="A534">
        <v>154652840</v>
      </c>
      <c r="B534" t="s">
        <v>343</v>
      </c>
      <c r="C534" t="s">
        <v>303</v>
      </c>
      <c r="D534" t="s">
        <v>38</v>
      </c>
      <c r="E534">
        <v>560</v>
      </c>
      <c r="F534" t="s">
        <v>355</v>
      </c>
      <c r="G534" t="s">
        <v>185</v>
      </c>
      <c r="H534" t="s">
        <v>319</v>
      </c>
      <c r="I534" s="1">
        <v>666000</v>
      </c>
      <c r="J534">
        <v>2</v>
      </c>
      <c r="K534" s="7">
        <f>Таблица1[[#This Row],[Штуки]]/SUMIFS(Таблица1[Штуки],Таблица1[Ветка],Таблица1[[#This Row],[Ветка]],Таблица1[Месяц],Таблица1[[#This Row],[Месяц]])</f>
        <v>1.8691588785046728E-2</v>
      </c>
      <c r="L534" s="1">
        <v>546717</v>
      </c>
      <c r="M534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1.6747644795919277E-2</v>
      </c>
      <c r="N534" t="s">
        <v>57</v>
      </c>
      <c r="O534">
        <v>1</v>
      </c>
      <c r="P534">
        <v>4.5</v>
      </c>
      <c r="Q534">
        <v>2</v>
      </c>
      <c r="R534" t="s">
        <v>344</v>
      </c>
      <c r="S534">
        <v>160</v>
      </c>
      <c r="T534">
        <v>84</v>
      </c>
      <c r="U534">
        <v>67.400000000000006</v>
      </c>
      <c r="V534">
        <v>2</v>
      </c>
      <c r="W534">
        <v>-24</v>
      </c>
    </row>
    <row r="535" spans="1:23" x14ac:dyDescent="0.3">
      <c r="A535">
        <v>121174966</v>
      </c>
      <c r="B535" t="s">
        <v>343</v>
      </c>
      <c r="C535" t="s">
        <v>330</v>
      </c>
      <c r="D535" t="s">
        <v>165</v>
      </c>
      <c r="E535">
        <v>400</v>
      </c>
      <c r="F535" t="s">
        <v>354</v>
      </c>
      <c r="G535" t="s">
        <v>26</v>
      </c>
      <c r="H535" t="s">
        <v>319</v>
      </c>
      <c r="I535" s="1">
        <v>170000</v>
      </c>
      <c r="J535">
        <v>3</v>
      </c>
      <c r="K535" s="7">
        <f>Таблица1[[#This Row],[Штуки]]/SUMIFS(Таблица1[Штуки],Таблица1[Ветка],Таблица1[[#This Row],[Ветка]],Таблица1[Месяц],Таблица1[[#This Row],[Месяц]])</f>
        <v>8.3333333333333329E-2</v>
      </c>
      <c r="L535" s="1">
        <v>540511</v>
      </c>
      <c r="M535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6.0026111104571241E-2</v>
      </c>
      <c r="N535" t="s">
        <v>96</v>
      </c>
      <c r="O535">
        <v>2</v>
      </c>
      <c r="P535">
        <v>4.7</v>
      </c>
      <c r="Q535">
        <v>5</v>
      </c>
      <c r="R535" t="s">
        <v>344</v>
      </c>
      <c r="S535">
        <v>140</v>
      </c>
      <c r="T535">
        <v>88</v>
      </c>
      <c r="U535">
        <v>76</v>
      </c>
      <c r="V535">
        <v>1</v>
      </c>
      <c r="W535">
        <v>-24</v>
      </c>
    </row>
    <row r="536" spans="1:23" x14ac:dyDescent="0.3">
      <c r="A536">
        <v>110833716</v>
      </c>
      <c r="B536" t="s">
        <v>346</v>
      </c>
      <c r="C536" t="s">
        <v>108</v>
      </c>
      <c r="D536" t="s">
        <v>62</v>
      </c>
      <c r="E536">
        <v>500</v>
      </c>
      <c r="F536" t="s">
        <v>355</v>
      </c>
      <c r="G536" t="s">
        <v>179</v>
      </c>
      <c r="H536" t="s">
        <v>319</v>
      </c>
      <c r="I536" s="1">
        <v>490356</v>
      </c>
      <c r="J536">
        <v>1</v>
      </c>
      <c r="K536" s="7">
        <f>Таблица1[[#This Row],[Штуки]]/SUMIFS(Таблица1[Штуки],Таблица1[Ветка],Таблица1[[#This Row],[Ветка]],Таблица1[Месяц],Таблица1[[#This Row],[Месяц]])</f>
        <v>9.3457943925233638E-3</v>
      </c>
      <c r="L536" s="1">
        <v>483360</v>
      </c>
      <c r="M536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1.4806822521625525E-2</v>
      </c>
      <c r="N536" t="s">
        <v>23</v>
      </c>
      <c r="O536">
        <v>3</v>
      </c>
      <c r="P536">
        <v>5</v>
      </c>
      <c r="Q536">
        <v>4</v>
      </c>
      <c r="R536" t="s">
        <v>344</v>
      </c>
      <c r="S536">
        <v>69.7</v>
      </c>
      <c r="T536">
        <v>196</v>
      </c>
      <c r="U536">
        <v>69.5</v>
      </c>
      <c r="V536">
        <v>0</v>
      </c>
      <c r="W536">
        <v>-18</v>
      </c>
    </row>
    <row r="537" spans="1:23" x14ac:dyDescent="0.3">
      <c r="A537">
        <v>141407423</v>
      </c>
      <c r="B537" t="s">
        <v>343</v>
      </c>
      <c r="C537" t="s">
        <v>205</v>
      </c>
      <c r="D537" t="s">
        <v>50</v>
      </c>
      <c r="E537">
        <v>758</v>
      </c>
      <c r="F537" t="s">
        <v>357</v>
      </c>
      <c r="G537" t="s">
        <v>179</v>
      </c>
      <c r="H537" t="s">
        <v>319</v>
      </c>
      <c r="I537" s="1">
        <v>478500</v>
      </c>
      <c r="J537">
        <v>1</v>
      </c>
      <c r="K537" s="7">
        <f>Таблица1[[#This Row],[Штуки]]/SUMIFS(Таблица1[Штуки],Таблица1[Ветка],Таблица1[[#This Row],[Ветка]],Таблица1[Месяц],Таблица1[[#This Row],[Месяц]])</f>
        <v>7.8125E-3</v>
      </c>
      <c r="L537" s="1">
        <v>479998</v>
      </c>
      <c r="M537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9.5731099156950543E-3</v>
      </c>
      <c r="N537" t="s">
        <v>57</v>
      </c>
      <c r="O537">
        <v>2</v>
      </c>
      <c r="P537">
        <v>5</v>
      </c>
      <c r="Q537">
        <v>2</v>
      </c>
      <c r="R537" t="s">
        <v>344</v>
      </c>
      <c r="S537">
        <v>195</v>
      </c>
      <c r="T537">
        <v>92</v>
      </c>
      <c r="U537">
        <v>79</v>
      </c>
      <c r="V537">
        <v>0</v>
      </c>
      <c r="W537">
        <v>-18</v>
      </c>
    </row>
    <row r="538" spans="1:23" x14ac:dyDescent="0.3">
      <c r="A538">
        <v>146461246</v>
      </c>
      <c r="B538" t="s">
        <v>346</v>
      </c>
      <c r="C538" t="s">
        <v>331</v>
      </c>
      <c r="D538" t="s">
        <v>249</v>
      </c>
      <c r="E538">
        <v>870</v>
      </c>
      <c r="F538" t="s">
        <v>358</v>
      </c>
      <c r="G538" t="s">
        <v>31</v>
      </c>
      <c r="H538" t="s">
        <v>319</v>
      </c>
      <c r="I538" s="1">
        <v>880000</v>
      </c>
      <c r="J538">
        <v>1</v>
      </c>
      <c r="K538" s="7">
        <f>Таблица1[[#This Row],[Штуки]]/SUMIFS(Таблица1[Штуки],Таблица1[Ветка],Таблица1[[#This Row],[Ветка]],Таблица1[Месяц],Таблица1[[#This Row],[Месяц]])</f>
        <v>5.8823529411764705E-2</v>
      </c>
      <c r="L538" s="1">
        <v>477990</v>
      </c>
      <c r="M538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5.9120052580842179E-2</v>
      </c>
      <c r="N538" t="s">
        <v>96</v>
      </c>
      <c r="O538">
        <v>1</v>
      </c>
      <c r="P538">
        <v>0</v>
      </c>
      <c r="Q538">
        <v>0</v>
      </c>
      <c r="R538" t="s">
        <v>344</v>
      </c>
      <c r="S538">
        <v>120</v>
      </c>
      <c r="T538">
        <v>197</v>
      </c>
      <c r="U538">
        <v>70</v>
      </c>
      <c r="V538">
        <v>0</v>
      </c>
      <c r="W538">
        <v>-15</v>
      </c>
    </row>
    <row r="539" spans="1:23" x14ac:dyDescent="0.3">
      <c r="A539">
        <v>162695585</v>
      </c>
      <c r="B539" t="s">
        <v>343</v>
      </c>
      <c r="C539" t="s">
        <v>332</v>
      </c>
      <c r="D539" t="s">
        <v>104</v>
      </c>
      <c r="E539">
        <v>600</v>
      </c>
      <c r="F539" t="s">
        <v>356</v>
      </c>
      <c r="G539" t="s">
        <v>31</v>
      </c>
      <c r="H539" t="s">
        <v>319</v>
      </c>
      <c r="I539" s="1">
        <v>299900</v>
      </c>
      <c r="J539">
        <v>2</v>
      </c>
      <c r="K539" s="7">
        <f>Таблица1[[#This Row],[Штуки]]/SUMIFS(Таблица1[Штуки],Таблица1[Ветка],Таблица1[[#This Row],[Ветка]],Таблица1[Месяц],Таблица1[[#This Row],[Месяц]])</f>
        <v>2.1276595744680851E-2</v>
      </c>
      <c r="L539" s="1">
        <v>468000</v>
      </c>
      <c r="M539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1.7194703898932177E-2</v>
      </c>
      <c r="N539" t="s">
        <v>96</v>
      </c>
      <c r="O539">
        <v>3</v>
      </c>
      <c r="P539">
        <v>5</v>
      </c>
      <c r="Q539">
        <v>1</v>
      </c>
      <c r="R539" t="s">
        <v>342</v>
      </c>
      <c r="S539">
        <v>173</v>
      </c>
      <c r="T539">
        <v>77</v>
      </c>
      <c r="U539">
        <v>87</v>
      </c>
      <c r="V539">
        <v>3</v>
      </c>
      <c r="W539">
        <v>-18</v>
      </c>
    </row>
    <row r="540" spans="1:23" x14ac:dyDescent="0.3">
      <c r="A540">
        <v>100620937</v>
      </c>
      <c r="B540" t="s">
        <v>343</v>
      </c>
      <c r="C540" t="s">
        <v>220</v>
      </c>
      <c r="D540" t="s">
        <v>93</v>
      </c>
      <c r="E540">
        <v>1088</v>
      </c>
      <c r="F540" t="s">
        <v>360</v>
      </c>
      <c r="G540" t="s">
        <v>179</v>
      </c>
      <c r="H540" t="s">
        <v>319</v>
      </c>
      <c r="I540" s="1">
        <v>459756</v>
      </c>
      <c r="J540">
        <v>1</v>
      </c>
      <c r="K540" s="7">
        <f>Таблица1[[#This Row],[Штуки]]/SUMIFS(Таблица1[Штуки],Таблица1[Ветка],Таблица1[[#This Row],[Ветка]],Таблица1[Месяц],Таблица1[[#This Row],[Месяц]])</f>
        <v>0.1</v>
      </c>
      <c r="L540" s="1">
        <v>459811</v>
      </c>
      <c r="M540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8.3676913658700988E-2</v>
      </c>
      <c r="N540" t="s">
        <v>57</v>
      </c>
      <c r="O540">
        <v>1</v>
      </c>
      <c r="P540">
        <v>4.9000000000000004</v>
      </c>
      <c r="Q540">
        <v>4</v>
      </c>
      <c r="R540" t="s">
        <v>344</v>
      </c>
      <c r="S540">
        <v>197</v>
      </c>
      <c r="T540">
        <v>94.2</v>
      </c>
      <c r="U540">
        <v>104</v>
      </c>
      <c r="V540">
        <v>2</v>
      </c>
      <c r="W540">
        <v>-18</v>
      </c>
    </row>
    <row r="541" spans="1:23" x14ac:dyDescent="0.3">
      <c r="A541">
        <v>113072746</v>
      </c>
      <c r="B541" t="s">
        <v>341</v>
      </c>
      <c r="C541" t="s">
        <v>192</v>
      </c>
      <c r="D541" t="s">
        <v>87</v>
      </c>
      <c r="E541">
        <v>700</v>
      </c>
      <c r="F541" t="s">
        <v>357</v>
      </c>
      <c r="G541" t="s">
        <v>188</v>
      </c>
      <c r="H541" t="s">
        <v>319</v>
      </c>
      <c r="I541" s="1">
        <v>480000</v>
      </c>
      <c r="J541">
        <v>1</v>
      </c>
      <c r="K541" s="7">
        <f>Таблица1[[#This Row],[Штуки]]/SUMIFS(Таблица1[Штуки],Таблица1[Ветка],Таблица1[[#This Row],[Ветка]],Таблица1[Месяц],Таблица1[[#This Row],[Месяц]])</f>
        <v>7.8125E-3</v>
      </c>
      <c r="L541" s="1">
        <v>459500</v>
      </c>
      <c r="M541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9.1642965309477898E-3</v>
      </c>
      <c r="N541" t="s">
        <v>57</v>
      </c>
      <c r="O541">
        <v>1</v>
      </c>
      <c r="P541">
        <v>4.9000000000000004</v>
      </c>
      <c r="Q541">
        <v>45</v>
      </c>
      <c r="R541" t="s">
        <v>344</v>
      </c>
      <c r="S541">
        <v>180</v>
      </c>
      <c r="T541">
        <v>84</v>
      </c>
      <c r="U541">
        <v>60</v>
      </c>
      <c r="V541">
        <v>6</v>
      </c>
      <c r="W541">
        <v>-22</v>
      </c>
    </row>
    <row r="542" spans="1:23" x14ac:dyDescent="0.3">
      <c r="A542">
        <v>149362714</v>
      </c>
      <c r="B542" t="s">
        <v>341</v>
      </c>
      <c r="C542" t="s">
        <v>226</v>
      </c>
      <c r="D542" t="s">
        <v>84</v>
      </c>
      <c r="E542">
        <v>613</v>
      </c>
      <c r="F542" t="s">
        <v>356</v>
      </c>
      <c r="G542" t="s">
        <v>180</v>
      </c>
      <c r="H542" t="s">
        <v>319</v>
      </c>
      <c r="I542" s="1">
        <v>405000</v>
      </c>
      <c r="J542">
        <v>1</v>
      </c>
      <c r="K542" s="7">
        <f>Таблица1[[#This Row],[Штуки]]/SUMIFS(Таблица1[Штуки],Таблица1[Ветка],Таблица1[[#This Row],[Ветка]],Таблица1[Месяц],Таблица1[[#This Row],[Месяц]])</f>
        <v>1.0638297872340425E-2</v>
      </c>
      <c r="L542" s="1">
        <v>443624</v>
      </c>
      <c r="M542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1.6299109663375829E-2</v>
      </c>
      <c r="N542" t="s">
        <v>57</v>
      </c>
      <c r="O542">
        <v>1</v>
      </c>
      <c r="P542">
        <v>5</v>
      </c>
      <c r="Q542">
        <v>2</v>
      </c>
      <c r="R542" t="s">
        <v>342</v>
      </c>
      <c r="S542">
        <v>180</v>
      </c>
      <c r="T542">
        <v>86</v>
      </c>
      <c r="U542">
        <v>76</v>
      </c>
      <c r="V542">
        <v>7</v>
      </c>
      <c r="W542">
        <v>-22</v>
      </c>
    </row>
    <row r="543" spans="1:23" x14ac:dyDescent="0.3">
      <c r="A543">
        <v>141507444</v>
      </c>
      <c r="B543" t="s">
        <v>341</v>
      </c>
      <c r="C543" t="s">
        <v>37</v>
      </c>
      <c r="D543" t="s">
        <v>38</v>
      </c>
      <c r="E543">
        <v>318</v>
      </c>
      <c r="F543" t="s">
        <v>353</v>
      </c>
      <c r="G543" t="s">
        <v>180</v>
      </c>
      <c r="H543" t="s">
        <v>319</v>
      </c>
      <c r="I543" s="1">
        <v>550000</v>
      </c>
      <c r="J543">
        <v>2</v>
      </c>
      <c r="K543" s="7">
        <f>Таблица1[[#This Row],[Штуки]]/SUMIFS(Таблица1[Штуки],Таблица1[Ветка],Таблица1[[#This Row],[Ветка]],Таблица1[Месяц],Таблица1[[#This Row],[Месяц]])</f>
        <v>1.0810810810810811E-2</v>
      </c>
      <c r="L543" s="1">
        <v>422963</v>
      </c>
      <c r="M543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1.0264286515809063E-2</v>
      </c>
      <c r="N543" t="s">
        <v>23</v>
      </c>
      <c r="O543">
        <v>1</v>
      </c>
      <c r="P543">
        <v>4.9000000000000004</v>
      </c>
      <c r="Q543">
        <v>20</v>
      </c>
      <c r="R543" t="s">
        <v>344</v>
      </c>
      <c r="S543">
        <v>129.4</v>
      </c>
      <c r="T543">
        <v>83</v>
      </c>
      <c r="U543">
        <v>59.8</v>
      </c>
      <c r="V543">
        <v>5</v>
      </c>
      <c r="W543">
        <v>-18</v>
      </c>
    </row>
    <row r="544" spans="1:23" x14ac:dyDescent="0.3">
      <c r="A544">
        <v>112447199</v>
      </c>
      <c r="B544" t="s">
        <v>343</v>
      </c>
      <c r="C544" t="s">
        <v>333</v>
      </c>
      <c r="D544" t="s">
        <v>334</v>
      </c>
      <c r="E544">
        <v>1208</v>
      </c>
      <c r="F544" t="s">
        <v>362</v>
      </c>
      <c r="G544" t="s">
        <v>26</v>
      </c>
      <c r="H544" t="s">
        <v>319</v>
      </c>
      <c r="I544" s="1">
        <v>799990</v>
      </c>
      <c r="J544">
        <v>1</v>
      </c>
      <c r="K544" s="7">
        <f>Таблица1[[#This Row],[Штуки]]/SUMIFS(Таблица1[Штуки],Таблица1[Ветка],Таблица1[[#This Row],[Ветка]],Таблица1[Месяц],Таблица1[[#This Row],[Месяц]])</f>
        <v>0.125</v>
      </c>
      <c r="L544" s="1">
        <v>399990</v>
      </c>
      <c r="M544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8.6644067884724979E-2</v>
      </c>
      <c r="N544" t="s">
        <v>96</v>
      </c>
      <c r="O544">
        <v>0</v>
      </c>
      <c r="P544">
        <v>4.5</v>
      </c>
      <c r="Q544">
        <v>1</v>
      </c>
      <c r="R544" t="s">
        <v>342</v>
      </c>
      <c r="S544">
        <v>302</v>
      </c>
      <c r="T544">
        <v>95.5</v>
      </c>
      <c r="U544">
        <v>75</v>
      </c>
      <c r="V544">
        <v>3</v>
      </c>
      <c r="W544">
        <v>0</v>
      </c>
    </row>
    <row r="545" spans="1:23" x14ac:dyDescent="0.3">
      <c r="A545">
        <v>139085554</v>
      </c>
      <c r="B545" t="s">
        <v>341</v>
      </c>
      <c r="C545" t="s">
        <v>94</v>
      </c>
      <c r="D545" t="s">
        <v>52</v>
      </c>
      <c r="E545">
        <v>326</v>
      </c>
      <c r="F545" t="s">
        <v>353</v>
      </c>
      <c r="G545" t="s">
        <v>177</v>
      </c>
      <c r="H545" t="s">
        <v>319</v>
      </c>
      <c r="I545" s="1">
        <v>199000</v>
      </c>
      <c r="J545">
        <v>2</v>
      </c>
      <c r="K545" s="7">
        <f>Таблица1[[#This Row],[Штуки]]/SUMIFS(Таблица1[Штуки],Таблица1[Ветка],Таблица1[[#This Row],[Ветка]],Таблица1[Месяц],Таблица1[[#This Row],[Месяц]])</f>
        <v>1.0810810810810811E-2</v>
      </c>
      <c r="L545" s="1">
        <v>398000</v>
      </c>
      <c r="M545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9.6584950298064069E-3</v>
      </c>
      <c r="N545" t="s">
        <v>23</v>
      </c>
      <c r="O545">
        <v>6</v>
      </c>
      <c r="P545">
        <v>5</v>
      </c>
      <c r="Q545">
        <v>10</v>
      </c>
      <c r="R545" t="s">
        <v>344</v>
      </c>
      <c r="S545">
        <v>125</v>
      </c>
      <c r="T545">
        <v>91</v>
      </c>
      <c r="U545">
        <v>62</v>
      </c>
      <c r="V545">
        <v>3</v>
      </c>
      <c r="W545">
        <v>-18</v>
      </c>
    </row>
    <row r="546" spans="1:23" x14ac:dyDescent="0.3">
      <c r="A546">
        <v>140053241</v>
      </c>
      <c r="B546" t="s">
        <v>341</v>
      </c>
      <c r="C546" t="s">
        <v>66</v>
      </c>
      <c r="D546" t="s">
        <v>67</v>
      </c>
      <c r="E546">
        <v>520</v>
      </c>
      <c r="F546" t="s">
        <v>355</v>
      </c>
      <c r="G546" t="s">
        <v>26</v>
      </c>
      <c r="H546" t="s">
        <v>319</v>
      </c>
      <c r="I546" s="1">
        <v>389000</v>
      </c>
      <c r="J546">
        <v>1</v>
      </c>
      <c r="K546" s="7">
        <f>Таблица1[[#This Row],[Штуки]]/SUMIFS(Таблица1[Штуки],Таблица1[Ветка],Таблица1[[#This Row],[Ветка]],Таблица1[Месяц],Таблица1[[#This Row],[Месяц]])</f>
        <v>9.3457943925233638E-3</v>
      </c>
      <c r="L546" s="1">
        <v>390000</v>
      </c>
      <c r="M546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1.1946914894558826E-2</v>
      </c>
      <c r="N546" t="s">
        <v>96</v>
      </c>
      <c r="O546">
        <v>3</v>
      </c>
      <c r="P546">
        <v>5</v>
      </c>
      <c r="Q546">
        <v>6</v>
      </c>
      <c r="R546" t="s">
        <v>344</v>
      </c>
      <c r="S546">
        <v>166</v>
      </c>
      <c r="T546">
        <v>83</v>
      </c>
      <c r="U546">
        <v>69</v>
      </c>
      <c r="V546">
        <v>6</v>
      </c>
      <c r="W546">
        <v>-18</v>
      </c>
    </row>
    <row r="547" spans="1:23" x14ac:dyDescent="0.3">
      <c r="A547">
        <v>148807910</v>
      </c>
      <c r="B547" t="s">
        <v>341</v>
      </c>
      <c r="C547" t="s">
        <v>174</v>
      </c>
      <c r="D547" t="s">
        <v>74</v>
      </c>
      <c r="E547">
        <v>280</v>
      </c>
      <c r="F547" t="s">
        <v>352</v>
      </c>
      <c r="G547" t="s">
        <v>179</v>
      </c>
      <c r="H547" t="s">
        <v>319</v>
      </c>
      <c r="I547" s="1">
        <v>179999</v>
      </c>
      <c r="J547">
        <v>2</v>
      </c>
      <c r="K547" s="7">
        <f>Таблица1[[#This Row],[Штуки]]/SUMIFS(Таблица1[Штуки],Таблица1[Ветка],Таблица1[[#This Row],[Ветка]],Таблица1[Месяц],Таблица1[[#This Row],[Месяц]])</f>
        <v>1.8691588785046728E-2</v>
      </c>
      <c r="L547" s="1">
        <v>385831</v>
      </c>
      <c r="M547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1.9138503217470532E-2</v>
      </c>
      <c r="N547" t="s">
        <v>57</v>
      </c>
      <c r="O547">
        <v>4</v>
      </c>
      <c r="P547">
        <v>5</v>
      </c>
      <c r="Q547">
        <v>2</v>
      </c>
      <c r="R547" t="s">
        <v>342</v>
      </c>
      <c r="S547">
        <v>106.5</v>
      </c>
      <c r="T547">
        <v>89.6</v>
      </c>
      <c r="U547">
        <v>73.599999999999994</v>
      </c>
      <c r="V547">
        <v>3</v>
      </c>
      <c r="W547">
        <v>0</v>
      </c>
    </row>
    <row r="548" spans="1:23" x14ac:dyDescent="0.3">
      <c r="A548">
        <v>137444909</v>
      </c>
      <c r="B548" t="s">
        <v>341</v>
      </c>
      <c r="C548" t="s">
        <v>85</v>
      </c>
      <c r="D548" t="s">
        <v>20</v>
      </c>
      <c r="E548">
        <v>500</v>
      </c>
      <c r="F548" t="s">
        <v>355</v>
      </c>
      <c r="G548" t="s">
        <v>177</v>
      </c>
      <c r="H548" t="s">
        <v>319</v>
      </c>
      <c r="I548" s="1">
        <v>328000</v>
      </c>
      <c r="J548">
        <v>1</v>
      </c>
      <c r="K548" s="7">
        <f>Таблица1[[#This Row],[Штуки]]/SUMIFS(Таблица1[Штуки],Таблица1[Ветка],Таблица1[[#This Row],[Ветка]],Таблица1[Месяц],Таблица1[[#This Row],[Месяц]])</f>
        <v>9.3457943925233638E-3</v>
      </c>
      <c r="L548" s="1">
        <v>360097</v>
      </c>
      <c r="M548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1.1030892853297307E-2</v>
      </c>
      <c r="N548" t="s">
        <v>23</v>
      </c>
      <c r="O548">
        <v>1</v>
      </c>
      <c r="P548">
        <v>5</v>
      </c>
      <c r="Q548">
        <v>1</v>
      </c>
      <c r="R548" t="s">
        <v>342</v>
      </c>
      <c r="S548">
        <v>150</v>
      </c>
      <c r="T548">
        <v>85</v>
      </c>
      <c r="U548">
        <v>76</v>
      </c>
      <c r="V548">
        <v>5</v>
      </c>
      <c r="W548">
        <v>-24</v>
      </c>
    </row>
    <row r="549" spans="1:23" x14ac:dyDescent="0.3">
      <c r="A549">
        <v>116319762</v>
      </c>
      <c r="B549" t="s">
        <v>343</v>
      </c>
      <c r="C549" t="s">
        <v>313</v>
      </c>
      <c r="D549" t="s">
        <v>25</v>
      </c>
      <c r="E549">
        <v>510</v>
      </c>
      <c r="F549" t="s">
        <v>355</v>
      </c>
      <c r="G549" t="s">
        <v>26</v>
      </c>
      <c r="H549" t="s">
        <v>319</v>
      </c>
      <c r="I549" s="1">
        <v>319000</v>
      </c>
      <c r="J549">
        <v>1</v>
      </c>
      <c r="K549" s="7">
        <f>Таблица1[[#This Row],[Штуки]]/SUMIFS(Таблица1[Штуки],Таблица1[Ветка],Таблица1[[#This Row],[Ветка]],Таблица1[Месяц],Таблица1[[#This Row],[Месяц]])</f>
        <v>9.3457943925233638E-3</v>
      </c>
      <c r="L549" s="1">
        <v>351470</v>
      </c>
      <c r="M549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1.0766620969206643E-2</v>
      </c>
      <c r="N549" t="s">
        <v>96</v>
      </c>
      <c r="O549">
        <v>1</v>
      </c>
      <c r="P549">
        <v>4.83</v>
      </c>
      <c r="Q549">
        <v>2</v>
      </c>
      <c r="R549" t="s">
        <v>344</v>
      </c>
      <c r="S549">
        <v>179</v>
      </c>
      <c r="T549">
        <v>81</v>
      </c>
      <c r="U549">
        <v>66.5</v>
      </c>
      <c r="V549">
        <v>2</v>
      </c>
      <c r="W549">
        <v>0</v>
      </c>
    </row>
    <row r="550" spans="1:23" x14ac:dyDescent="0.3">
      <c r="A550">
        <v>113146979</v>
      </c>
      <c r="B550" t="s">
        <v>343</v>
      </c>
      <c r="C550" t="s">
        <v>246</v>
      </c>
      <c r="D550" t="s">
        <v>247</v>
      </c>
      <c r="E550">
        <v>500</v>
      </c>
      <c r="F550" t="s">
        <v>355</v>
      </c>
      <c r="G550" t="s">
        <v>179</v>
      </c>
      <c r="H550" t="s">
        <v>319</v>
      </c>
      <c r="I550" s="1">
        <v>329990</v>
      </c>
      <c r="J550">
        <v>1</v>
      </c>
      <c r="K550" s="7">
        <f>Таблица1[[#This Row],[Штуки]]/SUMIFS(Таблица1[Штуки],Таблица1[Ветка],Таблица1[[#This Row],[Ветка]],Таблица1[Месяц],Таблица1[[#This Row],[Месяц]])</f>
        <v>9.3457943925233638E-3</v>
      </c>
      <c r="L550" s="1">
        <v>329990</v>
      </c>
      <c r="M550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1.0108621656552481E-2</v>
      </c>
      <c r="N550" t="s">
        <v>57</v>
      </c>
      <c r="O550">
        <v>1</v>
      </c>
      <c r="P550">
        <v>5</v>
      </c>
      <c r="Q550">
        <v>14</v>
      </c>
      <c r="R550" t="s">
        <v>344</v>
      </c>
      <c r="S550">
        <v>170.2</v>
      </c>
      <c r="T550">
        <v>84.2</v>
      </c>
      <c r="U550">
        <v>70.900000000000006</v>
      </c>
      <c r="V550">
        <v>0</v>
      </c>
      <c r="W550">
        <v>0</v>
      </c>
    </row>
    <row r="551" spans="1:23" x14ac:dyDescent="0.3">
      <c r="A551">
        <v>148912880</v>
      </c>
      <c r="B551" t="s">
        <v>343</v>
      </c>
      <c r="C551" t="s">
        <v>206</v>
      </c>
      <c r="D551" t="s">
        <v>148</v>
      </c>
      <c r="E551">
        <v>600</v>
      </c>
      <c r="F551" t="s">
        <v>356</v>
      </c>
      <c r="G551" t="s">
        <v>179</v>
      </c>
      <c r="H551" t="s">
        <v>319</v>
      </c>
      <c r="I551" s="1">
        <v>308990</v>
      </c>
      <c r="J551">
        <v>1</v>
      </c>
      <c r="K551" s="7">
        <f>Таблица1[[#This Row],[Штуки]]/SUMIFS(Таблица1[Штуки],Таблица1[Ветка],Таблица1[[#This Row],[Ветка]],Таблица1[Месяц],Таблица1[[#This Row],[Месяц]])</f>
        <v>1.0638297872340425E-2</v>
      </c>
      <c r="L551" s="1">
        <v>327131</v>
      </c>
      <c r="M551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1.2019061284533294E-2</v>
      </c>
      <c r="N551" t="s">
        <v>57</v>
      </c>
      <c r="O551">
        <v>2</v>
      </c>
      <c r="P551">
        <v>5</v>
      </c>
      <c r="Q551">
        <v>2</v>
      </c>
      <c r="R551" t="s">
        <v>344</v>
      </c>
      <c r="S551">
        <v>177.5</v>
      </c>
      <c r="T551">
        <v>91</v>
      </c>
      <c r="U551">
        <v>72.5</v>
      </c>
      <c r="V551">
        <v>3</v>
      </c>
      <c r="W551">
        <v>-18</v>
      </c>
    </row>
    <row r="552" spans="1:23" x14ac:dyDescent="0.3">
      <c r="A552">
        <v>140289737</v>
      </c>
      <c r="B552" t="s">
        <v>341</v>
      </c>
      <c r="C552" t="s">
        <v>312</v>
      </c>
      <c r="D552" t="s">
        <v>52</v>
      </c>
      <c r="E552">
        <v>520</v>
      </c>
      <c r="F552" t="s">
        <v>355</v>
      </c>
      <c r="G552" t="s">
        <v>26</v>
      </c>
      <c r="H552" t="s">
        <v>319</v>
      </c>
      <c r="I552" s="1">
        <v>319200</v>
      </c>
      <c r="J552">
        <v>1</v>
      </c>
      <c r="K552" s="7">
        <f>Таблица1[[#This Row],[Штуки]]/SUMIFS(Таблица1[Штуки],Таблица1[Ветка],Таблица1[[#This Row],[Ветка]],Таблица1[Месяц],Таблица1[[#This Row],[Месяц]])</f>
        <v>9.3457943925233638E-3</v>
      </c>
      <c r="L552" s="1">
        <v>319200</v>
      </c>
      <c r="M552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9.7780903444696851E-3</v>
      </c>
      <c r="N552" t="s">
        <v>96</v>
      </c>
      <c r="O552">
        <v>4</v>
      </c>
      <c r="P552">
        <v>5</v>
      </c>
      <c r="Q552">
        <v>0</v>
      </c>
      <c r="R552" t="s">
        <v>344</v>
      </c>
      <c r="S552">
        <v>152</v>
      </c>
      <c r="T552">
        <v>84</v>
      </c>
      <c r="U552">
        <v>70</v>
      </c>
      <c r="V552">
        <v>5</v>
      </c>
      <c r="W552">
        <v>-18</v>
      </c>
    </row>
    <row r="553" spans="1:23" x14ac:dyDescent="0.3">
      <c r="A553">
        <v>157671625</v>
      </c>
      <c r="B553" t="s">
        <v>341</v>
      </c>
      <c r="C553" t="s">
        <v>187</v>
      </c>
      <c r="D553" t="s">
        <v>74</v>
      </c>
      <c r="E553">
        <v>540</v>
      </c>
      <c r="F553" t="s">
        <v>355</v>
      </c>
      <c r="G553" t="s">
        <v>179</v>
      </c>
      <c r="H553" t="s">
        <v>319</v>
      </c>
      <c r="I553" s="1">
        <v>300990</v>
      </c>
      <c r="J553">
        <v>1</v>
      </c>
      <c r="K553" s="7">
        <f>Таблица1[[#This Row],[Штуки]]/SUMIFS(Таблица1[Штуки],Таблица1[Ветка],Таблица1[[#This Row],[Ветка]],Таблица1[Месяц],Таблица1[[#This Row],[Месяц]])</f>
        <v>9.3457943925233638E-3</v>
      </c>
      <c r="L553" s="1">
        <v>298990</v>
      </c>
      <c r="M553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9.1589950880106245E-3</v>
      </c>
      <c r="N553" t="s">
        <v>23</v>
      </c>
      <c r="O553">
        <v>5</v>
      </c>
      <c r="P553">
        <v>5</v>
      </c>
      <c r="Q553">
        <v>7</v>
      </c>
      <c r="R553" t="s">
        <v>344</v>
      </c>
      <c r="S553">
        <v>150</v>
      </c>
      <c r="T553">
        <v>85</v>
      </c>
      <c r="U553">
        <v>70</v>
      </c>
      <c r="V553">
        <v>7</v>
      </c>
      <c r="W553">
        <v>-20</v>
      </c>
    </row>
    <row r="554" spans="1:23" x14ac:dyDescent="0.3">
      <c r="A554">
        <v>162887612</v>
      </c>
      <c r="B554" t="s">
        <v>341</v>
      </c>
      <c r="C554" t="s">
        <v>335</v>
      </c>
      <c r="D554" t="s">
        <v>41</v>
      </c>
      <c r="E554">
        <v>528</v>
      </c>
      <c r="F554" t="s">
        <v>355</v>
      </c>
      <c r="G554" t="s">
        <v>26</v>
      </c>
      <c r="H554" t="s">
        <v>319</v>
      </c>
      <c r="I554" s="1">
        <v>268900</v>
      </c>
      <c r="J554">
        <v>1</v>
      </c>
      <c r="K554" s="7">
        <f>Таблица1[[#This Row],[Штуки]]/SUMIFS(Таблица1[Штуки],Таблица1[Ветка],Таблица1[[#This Row],[Ветка]],Таблица1[Месяц],Таблица1[[#This Row],[Месяц]])</f>
        <v>9.3457943925233638E-3</v>
      </c>
      <c r="L554" s="1">
        <v>298046</v>
      </c>
      <c r="M554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9.1300774273427691E-3</v>
      </c>
      <c r="N554" t="s">
        <v>96</v>
      </c>
      <c r="O554">
        <v>0</v>
      </c>
      <c r="P554">
        <v>5</v>
      </c>
      <c r="Q554">
        <v>1</v>
      </c>
      <c r="R554" t="s">
        <v>342</v>
      </c>
      <c r="S554">
        <v>152</v>
      </c>
      <c r="T554">
        <v>85</v>
      </c>
      <c r="U554">
        <v>67.5</v>
      </c>
      <c r="V554">
        <v>5</v>
      </c>
      <c r="W554">
        <v>-18</v>
      </c>
    </row>
    <row r="555" spans="1:23" x14ac:dyDescent="0.3">
      <c r="A555">
        <v>154154972</v>
      </c>
      <c r="B555" t="s">
        <v>341</v>
      </c>
      <c r="C555" t="s">
        <v>158</v>
      </c>
      <c r="D555" t="s">
        <v>52</v>
      </c>
      <c r="E555">
        <v>500</v>
      </c>
      <c r="F555" t="s">
        <v>355</v>
      </c>
      <c r="G555" t="s">
        <v>116</v>
      </c>
      <c r="H555" t="s">
        <v>319</v>
      </c>
      <c r="I555" s="1">
        <v>295000</v>
      </c>
      <c r="J555">
        <v>1</v>
      </c>
      <c r="K555" s="7">
        <f>Таблица1[[#This Row],[Штуки]]/SUMIFS(Таблица1[Штуки],Таблица1[Ветка],Таблица1[[#This Row],[Ветка]],Таблица1[Месяц],Таблица1[[#This Row],[Месяц]])</f>
        <v>9.3457943925233638E-3</v>
      </c>
      <c r="L555" s="1">
        <v>295000</v>
      </c>
      <c r="M555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9.0367689587047533E-3</v>
      </c>
      <c r="N555" t="s">
        <v>96</v>
      </c>
      <c r="O555">
        <v>1</v>
      </c>
      <c r="P555">
        <v>5</v>
      </c>
      <c r="Q555">
        <v>1</v>
      </c>
      <c r="R555" t="s">
        <v>344</v>
      </c>
      <c r="S555">
        <v>147</v>
      </c>
      <c r="T555">
        <v>85</v>
      </c>
      <c r="U555">
        <v>75</v>
      </c>
      <c r="V555">
        <v>5</v>
      </c>
      <c r="W555">
        <v>-18</v>
      </c>
    </row>
    <row r="556" spans="1:23" x14ac:dyDescent="0.3">
      <c r="A556">
        <v>140330750</v>
      </c>
      <c r="B556" t="s">
        <v>341</v>
      </c>
      <c r="C556" t="s">
        <v>336</v>
      </c>
      <c r="D556" t="s">
        <v>91</v>
      </c>
      <c r="E556">
        <v>520</v>
      </c>
      <c r="F556" t="s">
        <v>355</v>
      </c>
      <c r="G556" t="s">
        <v>26</v>
      </c>
      <c r="H556" t="s">
        <v>319</v>
      </c>
      <c r="I556" s="1">
        <v>288888</v>
      </c>
      <c r="J556">
        <v>1</v>
      </c>
      <c r="K556" s="7">
        <f>Таблица1[[#This Row],[Штуки]]/SUMIFS(Таблица1[Штуки],Таблица1[Ветка],Таблица1[[#This Row],[Ветка]],Таблица1[Месяц],Таблица1[[#This Row],[Месяц]])</f>
        <v>9.3457943925233638E-3</v>
      </c>
      <c r="L556" s="1">
        <v>288888</v>
      </c>
      <c r="M556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8.8495393591264369E-3</v>
      </c>
      <c r="N556" t="s">
        <v>96</v>
      </c>
      <c r="O556">
        <v>3</v>
      </c>
      <c r="P556">
        <v>5</v>
      </c>
      <c r="Q556">
        <v>1</v>
      </c>
      <c r="R556" t="s">
        <v>342</v>
      </c>
      <c r="S556">
        <v>166</v>
      </c>
      <c r="T556">
        <v>83</v>
      </c>
      <c r="U556">
        <v>69</v>
      </c>
      <c r="V556">
        <v>6</v>
      </c>
      <c r="W556">
        <v>-18</v>
      </c>
    </row>
    <row r="557" spans="1:23" x14ac:dyDescent="0.3">
      <c r="A557">
        <v>116214532</v>
      </c>
      <c r="B557" t="s">
        <v>343</v>
      </c>
      <c r="C557" t="s">
        <v>155</v>
      </c>
      <c r="D557" t="s">
        <v>133</v>
      </c>
      <c r="E557">
        <v>501</v>
      </c>
      <c r="F557" t="s">
        <v>355</v>
      </c>
      <c r="G557" t="s">
        <v>26</v>
      </c>
      <c r="H557" t="s">
        <v>319</v>
      </c>
      <c r="I557" s="1">
        <v>288888</v>
      </c>
      <c r="J557">
        <v>1</v>
      </c>
      <c r="K557" s="7">
        <f>Таблица1[[#This Row],[Штуки]]/SUMIFS(Таблица1[Штуки],Таблица1[Ветка],Таблица1[[#This Row],[Ветка]],Таблица1[Месяц],Таблица1[[#This Row],[Месяц]])</f>
        <v>9.3457943925233638E-3</v>
      </c>
      <c r="L557" s="1">
        <v>288888</v>
      </c>
      <c r="M557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8.8495393591264369E-3</v>
      </c>
      <c r="N557" t="s">
        <v>96</v>
      </c>
      <c r="O557">
        <v>2</v>
      </c>
      <c r="P557">
        <v>5</v>
      </c>
      <c r="Q557">
        <v>5</v>
      </c>
      <c r="R557" t="s">
        <v>344</v>
      </c>
      <c r="S557">
        <v>153</v>
      </c>
      <c r="T557">
        <v>88</v>
      </c>
      <c r="U557">
        <v>67</v>
      </c>
      <c r="V557">
        <v>1</v>
      </c>
      <c r="W557">
        <v>-24</v>
      </c>
    </row>
    <row r="558" spans="1:23" x14ac:dyDescent="0.3">
      <c r="A558">
        <v>162887915</v>
      </c>
      <c r="B558" t="s">
        <v>343</v>
      </c>
      <c r="C558" t="s">
        <v>285</v>
      </c>
      <c r="D558" t="s">
        <v>104</v>
      </c>
      <c r="E558">
        <v>700</v>
      </c>
      <c r="F558" t="s">
        <v>357</v>
      </c>
      <c r="G558" t="s">
        <v>26</v>
      </c>
      <c r="H558" t="s">
        <v>319</v>
      </c>
      <c r="I558" s="1">
        <v>278934</v>
      </c>
      <c r="J558">
        <v>1</v>
      </c>
      <c r="K558" s="7">
        <f>Таблица1[[#This Row],[Штуки]]/SUMIFS(Таблица1[Штуки],Таблица1[Ветка],Таблица1[[#This Row],[Ветка]],Таблица1[Месяц],Таблица1[[#This Row],[Месяц]])</f>
        <v>7.8125E-3</v>
      </c>
      <c r="L558" s="1">
        <v>279980</v>
      </c>
      <c r="M558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5.5839385043193954E-3</v>
      </c>
      <c r="N558" t="s">
        <v>96</v>
      </c>
      <c r="O558">
        <v>3</v>
      </c>
      <c r="P558">
        <v>5</v>
      </c>
      <c r="Q558">
        <v>0</v>
      </c>
      <c r="R558" t="s">
        <v>342</v>
      </c>
      <c r="S558">
        <v>193</v>
      </c>
      <c r="T558">
        <v>82.5</v>
      </c>
      <c r="U558">
        <v>71</v>
      </c>
      <c r="V558">
        <v>0</v>
      </c>
      <c r="W558">
        <v>-18</v>
      </c>
    </row>
    <row r="559" spans="1:23" x14ac:dyDescent="0.3">
      <c r="A559">
        <v>104775274</v>
      </c>
      <c r="B559" t="s">
        <v>343</v>
      </c>
      <c r="C559" t="s">
        <v>156</v>
      </c>
      <c r="D559" t="s">
        <v>157</v>
      </c>
      <c r="E559">
        <v>500</v>
      </c>
      <c r="F559" t="s">
        <v>355</v>
      </c>
      <c r="G559" t="s">
        <v>179</v>
      </c>
      <c r="H559" t="s">
        <v>319</v>
      </c>
      <c r="I559" s="1">
        <v>278905</v>
      </c>
      <c r="J559">
        <v>1</v>
      </c>
      <c r="K559" s="7">
        <f>Таблица1[[#This Row],[Штуки]]/SUMIFS(Таблица1[Штуки],Таблица1[Ветка],Таблица1[[#This Row],[Ветка]],Таблица1[Месяц],Таблица1[[#This Row],[Месяц]])</f>
        <v>9.3457943925233638E-3</v>
      </c>
      <c r="L559" s="1">
        <v>279395</v>
      </c>
      <c r="M559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8.5587391973468291E-3</v>
      </c>
      <c r="N559" t="s">
        <v>57</v>
      </c>
      <c r="O559">
        <v>2</v>
      </c>
      <c r="P559">
        <v>5</v>
      </c>
      <c r="Q559">
        <v>8</v>
      </c>
      <c r="R559" t="s">
        <v>344</v>
      </c>
      <c r="S559">
        <v>153</v>
      </c>
      <c r="T559">
        <v>80</v>
      </c>
      <c r="U559">
        <v>75</v>
      </c>
      <c r="V559">
        <v>0</v>
      </c>
      <c r="W559">
        <v>-24</v>
      </c>
    </row>
    <row r="560" spans="1:23" x14ac:dyDescent="0.3">
      <c r="A560">
        <v>141583649</v>
      </c>
      <c r="B560" t="s">
        <v>343</v>
      </c>
      <c r="C560" t="s">
        <v>119</v>
      </c>
      <c r="D560" t="s">
        <v>38</v>
      </c>
      <c r="E560">
        <v>560</v>
      </c>
      <c r="F560" t="s">
        <v>355</v>
      </c>
      <c r="G560" t="s">
        <v>180</v>
      </c>
      <c r="H560" t="s">
        <v>319</v>
      </c>
      <c r="I560" s="1">
        <v>699990</v>
      </c>
      <c r="J560">
        <v>1</v>
      </c>
      <c r="K560" s="7">
        <f>Таблица1[[#This Row],[Штуки]]/SUMIFS(Таблица1[Штуки],Таблица1[Ветка],Таблица1[[#This Row],[Ветка]],Таблица1[Месяц],Таблица1[[#This Row],[Месяц]])</f>
        <v>9.3457943925233638E-3</v>
      </c>
      <c r="L560" s="1">
        <v>248990</v>
      </c>
      <c r="M560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7.6273393322979543E-3</v>
      </c>
      <c r="N560" t="s">
        <v>23</v>
      </c>
      <c r="O560">
        <v>1</v>
      </c>
      <c r="P560">
        <v>4.7</v>
      </c>
      <c r="Q560">
        <v>21</v>
      </c>
      <c r="R560" t="s">
        <v>344</v>
      </c>
      <c r="S560">
        <v>160</v>
      </c>
      <c r="T560">
        <v>84</v>
      </c>
      <c r="U560">
        <v>67.400000000000006</v>
      </c>
      <c r="V560">
        <v>2</v>
      </c>
      <c r="W560">
        <v>-24</v>
      </c>
    </row>
    <row r="561" spans="1:23" x14ac:dyDescent="0.3">
      <c r="A561">
        <v>114858756</v>
      </c>
      <c r="B561" t="s">
        <v>346</v>
      </c>
      <c r="C561" t="s">
        <v>112</v>
      </c>
      <c r="D561" t="s">
        <v>46</v>
      </c>
      <c r="E561">
        <v>90</v>
      </c>
      <c r="F561" t="s">
        <v>350</v>
      </c>
      <c r="G561" t="s">
        <v>179</v>
      </c>
      <c r="H561" t="s">
        <v>319</v>
      </c>
      <c r="I561" s="1">
        <v>339990</v>
      </c>
      <c r="J561">
        <v>1</v>
      </c>
      <c r="K561" s="7">
        <f>Таблица1[[#This Row],[Штуки]]/SUMIFS(Таблица1[Штуки],Таблица1[Ветка],Таблица1[[#This Row],[Ветка]],Таблица1[Месяц],Таблица1[[#This Row],[Месяц]])</f>
        <v>0.33333333333333331</v>
      </c>
      <c r="L561" s="1">
        <v>239990</v>
      </c>
      <c r="M561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0.28373984701055793</v>
      </c>
      <c r="N561" t="s">
        <v>57</v>
      </c>
      <c r="O561">
        <v>1</v>
      </c>
      <c r="P561">
        <v>5</v>
      </c>
      <c r="Q561">
        <v>2</v>
      </c>
      <c r="R561" t="s">
        <v>344</v>
      </c>
      <c r="S561">
        <v>59.5</v>
      </c>
      <c r="T561">
        <v>82</v>
      </c>
      <c r="U561">
        <v>54.5</v>
      </c>
      <c r="V561">
        <v>0</v>
      </c>
      <c r="W561">
        <v>-24</v>
      </c>
    </row>
    <row r="562" spans="1:23" x14ac:dyDescent="0.3">
      <c r="A562">
        <v>114890200</v>
      </c>
      <c r="B562" t="s">
        <v>341</v>
      </c>
      <c r="C562" t="s">
        <v>221</v>
      </c>
      <c r="D562" t="s">
        <v>46</v>
      </c>
      <c r="E562">
        <v>417</v>
      </c>
      <c r="F562" t="s">
        <v>354</v>
      </c>
      <c r="G562" t="s">
        <v>179</v>
      </c>
      <c r="H562" t="s">
        <v>319</v>
      </c>
      <c r="I562" s="1">
        <v>299990</v>
      </c>
      <c r="J562">
        <v>1</v>
      </c>
      <c r="K562" s="7">
        <f>Таблица1[[#This Row],[Штуки]]/SUMIFS(Таблица1[Штуки],Таблица1[Ветка],Таблица1[[#This Row],[Ветка]],Таблица1[Месяц],Таблица1[[#This Row],[Месяц]])</f>
        <v>2.7777777777777776E-2</v>
      </c>
      <c r="L562" s="1">
        <v>239560</v>
      </c>
      <c r="M562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2.6604185994755124E-2</v>
      </c>
      <c r="N562" t="s">
        <v>96</v>
      </c>
      <c r="O562">
        <v>4</v>
      </c>
      <c r="P562">
        <v>5</v>
      </c>
      <c r="Q562">
        <v>1</v>
      </c>
      <c r="R562" t="s">
        <v>344</v>
      </c>
      <c r="S562">
        <v>130</v>
      </c>
      <c r="T562">
        <v>84.5</v>
      </c>
      <c r="U562">
        <v>65</v>
      </c>
      <c r="V562">
        <v>4</v>
      </c>
      <c r="W562">
        <v>-25</v>
      </c>
    </row>
    <row r="563" spans="1:23" x14ac:dyDescent="0.3">
      <c r="A563">
        <v>156862883</v>
      </c>
      <c r="B563" t="s">
        <v>343</v>
      </c>
      <c r="C563" t="s">
        <v>316</v>
      </c>
      <c r="D563" t="s">
        <v>91</v>
      </c>
      <c r="E563">
        <v>550</v>
      </c>
      <c r="F563" t="s">
        <v>355</v>
      </c>
      <c r="G563" t="s">
        <v>31</v>
      </c>
      <c r="H563" t="s">
        <v>319</v>
      </c>
      <c r="I563" s="1">
        <v>234391</v>
      </c>
      <c r="J563">
        <v>1</v>
      </c>
      <c r="K563" s="7">
        <f>Таблица1[[#This Row],[Штуки]]/SUMIFS(Таблица1[Штуки],Таблица1[Ветка],Таблица1[[#This Row],[Ветка]],Таблица1[Месяц],Таблица1[[#This Row],[Месяц]])</f>
        <v>9.3457943925233638E-3</v>
      </c>
      <c r="L563" s="1">
        <v>235990</v>
      </c>
      <c r="M563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7.2291088358126601E-3</v>
      </c>
      <c r="N563" t="s">
        <v>96</v>
      </c>
      <c r="O563">
        <v>4</v>
      </c>
      <c r="P563">
        <v>0</v>
      </c>
      <c r="Q563">
        <v>0</v>
      </c>
      <c r="R563" t="s">
        <v>342</v>
      </c>
      <c r="S563">
        <v>153</v>
      </c>
      <c r="T563">
        <v>74</v>
      </c>
      <c r="U563">
        <v>83</v>
      </c>
      <c r="V563">
        <v>1</v>
      </c>
      <c r="W563">
        <v>-18</v>
      </c>
    </row>
    <row r="564" spans="1:23" x14ac:dyDescent="0.3">
      <c r="A564">
        <v>113102522</v>
      </c>
      <c r="B564" t="s">
        <v>341</v>
      </c>
      <c r="C564" t="s">
        <v>337</v>
      </c>
      <c r="D564" t="s">
        <v>165</v>
      </c>
      <c r="E564">
        <v>338</v>
      </c>
      <c r="F564" t="s">
        <v>353</v>
      </c>
      <c r="G564" t="s">
        <v>26</v>
      </c>
      <c r="H564" t="s">
        <v>319</v>
      </c>
      <c r="I564" s="1">
        <v>224000</v>
      </c>
      <c r="J564">
        <v>1</v>
      </c>
      <c r="K564" s="7">
        <f>Таблица1[[#This Row],[Штуки]]/SUMIFS(Таблица1[Штуки],Таблица1[Ветка],Таблица1[[#This Row],[Ветка]],Таблица1[Месяц],Таблица1[[#This Row],[Месяц]])</f>
        <v>5.4054054054054057E-3</v>
      </c>
      <c r="L564" s="1">
        <v>225990</v>
      </c>
      <c r="M564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5.4842293763466077E-3</v>
      </c>
      <c r="N564" t="s">
        <v>96</v>
      </c>
      <c r="O564">
        <v>1</v>
      </c>
      <c r="P564">
        <v>4.8</v>
      </c>
      <c r="Q564">
        <v>34</v>
      </c>
      <c r="R564" t="s">
        <v>344</v>
      </c>
      <c r="S564">
        <v>130</v>
      </c>
      <c r="T564">
        <v>85</v>
      </c>
      <c r="U564">
        <v>65</v>
      </c>
      <c r="V564">
        <v>5</v>
      </c>
      <c r="W564">
        <v>-24</v>
      </c>
    </row>
    <row r="565" spans="1:23" x14ac:dyDescent="0.3">
      <c r="A565">
        <v>163466491</v>
      </c>
      <c r="B565" t="s">
        <v>341</v>
      </c>
      <c r="C565" t="s">
        <v>314</v>
      </c>
      <c r="D565" t="s">
        <v>30</v>
      </c>
      <c r="E565">
        <v>400</v>
      </c>
      <c r="F565" t="s">
        <v>354</v>
      </c>
      <c r="G565" t="s">
        <v>26</v>
      </c>
      <c r="H565" t="s">
        <v>319</v>
      </c>
      <c r="I565" s="1">
        <v>255200</v>
      </c>
      <c r="J565">
        <v>1</v>
      </c>
      <c r="K565" s="7">
        <f>Таблица1[[#This Row],[Штуки]]/SUMIFS(Таблица1[Штуки],Таблица1[Ветка],Таблица1[[#This Row],[Ветка]],Таблица1[Месяц],Таблица1[[#This Row],[Месяц]])</f>
        <v>2.7777777777777776E-2</v>
      </c>
      <c r="L565" s="1">
        <v>220000</v>
      </c>
      <c r="M565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2.4431962426307092E-2</v>
      </c>
      <c r="N565" t="s">
        <v>96</v>
      </c>
      <c r="O565">
        <v>1</v>
      </c>
      <c r="P565">
        <v>5</v>
      </c>
      <c r="Q565">
        <v>1</v>
      </c>
      <c r="R565" t="s">
        <v>344</v>
      </c>
      <c r="S565">
        <v>104</v>
      </c>
      <c r="T565">
        <v>63.7</v>
      </c>
      <c r="U565">
        <v>59.8</v>
      </c>
      <c r="V565">
        <v>5</v>
      </c>
      <c r="W565">
        <v>-22</v>
      </c>
    </row>
    <row r="566" spans="1:23" x14ac:dyDescent="0.3">
      <c r="A566">
        <v>121279939</v>
      </c>
      <c r="B566" t="s">
        <v>341</v>
      </c>
      <c r="C566" t="s">
        <v>168</v>
      </c>
      <c r="D566" t="s">
        <v>35</v>
      </c>
      <c r="E566">
        <v>122</v>
      </c>
      <c r="F566" t="s">
        <v>351</v>
      </c>
      <c r="G566" t="s">
        <v>179</v>
      </c>
      <c r="H566" t="s">
        <v>319</v>
      </c>
      <c r="I566" s="1">
        <v>99300</v>
      </c>
      <c r="J566">
        <v>2</v>
      </c>
      <c r="K566" s="7">
        <f>Таблица1[[#This Row],[Штуки]]/SUMIFS(Таблица1[Штуки],Таблица1[Ветка],Таблица1[[#This Row],[Ветка]],Таблица1[Месяц],Таблица1[[#This Row],[Месяц]])</f>
        <v>2.7397260273972601E-2</v>
      </c>
      <c r="L566" s="1">
        <v>208659</v>
      </c>
      <c r="M566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6.9193395006810106E-3</v>
      </c>
      <c r="N566" t="s">
        <v>96</v>
      </c>
      <c r="O566">
        <v>2</v>
      </c>
      <c r="P566">
        <v>5</v>
      </c>
      <c r="Q566">
        <v>2</v>
      </c>
      <c r="R566" t="s">
        <v>344</v>
      </c>
      <c r="S566">
        <v>66</v>
      </c>
      <c r="T566">
        <v>81</v>
      </c>
      <c r="U566">
        <v>48</v>
      </c>
      <c r="V566">
        <v>2</v>
      </c>
      <c r="W566">
        <v>-18</v>
      </c>
    </row>
    <row r="567" spans="1:23" x14ac:dyDescent="0.3">
      <c r="A567">
        <v>153721974</v>
      </c>
      <c r="B567" t="s">
        <v>343</v>
      </c>
      <c r="C567" t="s">
        <v>162</v>
      </c>
      <c r="D567" t="s">
        <v>104</v>
      </c>
      <c r="E567">
        <v>600</v>
      </c>
      <c r="F567" t="s">
        <v>356</v>
      </c>
      <c r="G567" t="s">
        <v>179</v>
      </c>
      <c r="H567" t="s">
        <v>319</v>
      </c>
      <c r="I567" s="1">
        <v>231000</v>
      </c>
      <c r="J567">
        <v>1</v>
      </c>
      <c r="K567" s="7">
        <f>Таблица1[[#This Row],[Штуки]]/SUMIFS(Таблица1[Штуки],Таблица1[Ветка],Таблица1[[#This Row],[Ветка]],Таблица1[Месяц],Таблица1[[#This Row],[Месяц]])</f>
        <v>1.0638297872340425E-2</v>
      </c>
      <c r="L567" s="1">
        <v>197781</v>
      </c>
      <c r="M567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7.2666361791339845E-3</v>
      </c>
      <c r="N567" t="s">
        <v>57</v>
      </c>
      <c r="O567">
        <v>4</v>
      </c>
      <c r="P567">
        <v>5</v>
      </c>
      <c r="Q567">
        <v>1</v>
      </c>
      <c r="R567" t="s">
        <v>342</v>
      </c>
      <c r="S567">
        <v>168.5</v>
      </c>
      <c r="T567">
        <v>82.5</v>
      </c>
      <c r="U567">
        <v>71</v>
      </c>
      <c r="V567">
        <v>0</v>
      </c>
      <c r="W567">
        <v>-18</v>
      </c>
    </row>
    <row r="568" spans="1:23" x14ac:dyDescent="0.3">
      <c r="A568">
        <v>132170932</v>
      </c>
      <c r="B568" t="s">
        <v>341</v>
      </c>
      <c r="C568" t="s">
        <v>338</v>
      </c>
      <c r="D568" t="s">
        <v>30</v>
      </c>
      <c r="E568">
        <v>258</v>
      </c>
      <c r="F568" t="s">
        <v>352</v>
      </c>
      <c r="G568" t="s">
        <v>26</v>
      </c>
      <c r="H568" t="s">
        <v>319</v>
      </c>
      <c r="I568" s="1">
        <v>239990</v>
      </c>
      <c r="J568">
        <v>1</v>
      </c>
      <c r="K568" s="7">
        <f>Таблица1[[#This Row],[Штуки]]/SUMIFS(Таблица1[Штуки],Таблица1[Ветка],Таблица1[[#This Row],[Ветка]],Таблица1[Месяц],Таблица1[[#This Row],[Месяц]])</f>
        <v>9.3457943925233638E-3</v>
      </c>
      <c r="L568" s="1">
        <v>196835</v>
      </c>
      <c r="M568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9.7636718687995842E-3</v>
      </c>
      <c r="N568" t="s">
        <v>96</v>
      </c>
      <c r="O568">
        <v>1</v>
      </c>
      <c r="P568">
        <v>5</v>
      </c>
      <c r="Q568">
        <v>1</v>
      </c>
      <c r="R568" t="s">
        <v>344</v>
      </c>
      <c r="S568">
        <v>109</v>
      </c>
      <c r="T568">
        <v>84.1</v>
      </c>
      <c r="U568">
        <v>66</v>
      </c>
      <c r="V568">
        <v>3</v>
      </c>
      <c r="W568">
        <v>-18</v>
      </c>
    </row>
    <row r="569" spans="1:23" x14ac:dyDescent="0.3">
      <c r="A569">
        <v>153336154</v>
      </c>
      <c r="B569" t="s">
        <v>343</v>
      </c>
      <c r="C569" t="s">
        <v>170</v>
      </c>
      <c r="D569" t="s">
        <v>104</v>
      </c>
      <c r="E569">
        <v>550</v>
      </c>
      <c r="F569" t="s">
        <v>355</v>
      </c>
      <c r="G569" t="s">
        <v>179</v>
      </c>
      <c r="H569" t="s">
        <v>319</v>
      </c>
      <c r="I569" s="1">
        <v>249990</v>
      </c>
      <c r="J569">
        <v>1</v>
      </c>
      <c r="K569" s="7">
        <f>Таблица1[[#This Row],[Штуки]]/SUMIFS(Таблица1[Штуки],Таблица1[Ветка],Таблица1[[#This Row],[Ветка]],Таблица1[Месяц],Таблица1[[#This Row],[Месяц]])</f>
        <v>9.3457943925233638E-3</v>
      </c>
      <c r="L569" s="1">
        <v>189990</v>
      </c>
      <c r="M569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5.8199855405570034E-3</v>
      </c>
      <c r="N569" t="s">
        <v>57</v>
      </c>
      <c r="O569">
        <v>2</v>
      </c>
      <c r="P569">
        <v>5</v>
      </c>
      <c r="Q569">
        <v>3</v>
      </c>
      <c r="R569" t="s">
        <v>342</v>
      </c>
      <c r="S569">
        <v>153.5</v>
      </c>
      <c r="T569">
        <v>82.5</v>
      </c>
      <c r="U569">
        <v>74</v>
      </c>
      <c r="V569">
        <v>0</v>
      </c>
      <c r="W569">
        <v>-18</v>
      </c>
    </row>
    <row r="570" spans="1:23" x14ac:dyDescent="0.3">
      <c r="A570">
        <v>117729101</v>
      </c>
      <c r="B570" t="s">
        <v>341</v>
      </c>
      <c r="C570" t="s">
        <v>172</v>
      </c>
      <c r="D570" t="s">
        <v>93</v>
      </c>
      <c r="E570">
        <v>380</v>
      </c>
      <c r="F570" t="s">
        <v>353</v>
      </c>
      <c r="G570" t="s">
        <v>180</v>
      </c>
      <c r="H570" t="s">
        <v>319</v>
      </c>
      <c r="I570" s="1">
        <v>189990</v>
      </c>
      <c r="J570">
        <v>1</v>
      </c>
      <c r="K570" s="7">
        <f>Таблица1[[#This Row],[Штуки]]/SUMIFS(Таблица1[Штуки],Таблица1[Ветка],Таблица1[[#This Row],[Ветка]],Таблица1[Месяц],Таблица1[[#This Row],[Месяц]])</f>
        <v>5.4054054054054057E-3</v>
      </c>
      <c r="L570" s="1">
        <v>189990</v>
      </c>
      <c r="M570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4.6105966600827114E-3</v>
      </c>
      <c r="N570" t="s">
        <v>96</v>
      </c>
      <c r="O570">
        <v>1</v>
      </c>
      <c r="P570">
        <v>4.8</v>
      </c>
      <c r="Q570">
        <v>16</v>
      </c>
      <c r="R570" t="s">
        <v>342</v>
      </c>
      <c r="S570">
        <v>122</v>
      </c>
      <c r="T570">
        <v>90</v>
      </c>
      <c r="U570">
        <v>70</v>
      </c>
      <c r="V570">
        <v>4</v>
      </c>
      <c r="W570">
        <v>-18</v>
      </c>
    </row>
    <row r="571" spans="1:23" x14ac:dyDescent="0.3">
      <c r="A571">
        <v>162392253</v>
      </c>
      <c r="B571" t="s">
        <v>343</v>
      </c>
      <c r="C571" t="s">
        <v>339</v>
      </c>
      <c r="D571" t="s">
        <v>91</v>
      </c>
      <c r="E571">
        <v>400</v>
      </c>
      <c r="F571" t="s">
        <v>354</v>
      </c>
      <c r="G571" t="s">
        <v>31</v>
      </c>
      <c r="H571" t="s">
        <v>319</v>
      </c>
      <c r="I571" s="1">
        <v>200000</v>
      </c>
      <c r="J571">
        <v>1</v>
      </c>
      <c r="K571" s="7">
        <f>Таблица1[[#This Row],[Штуки]]/SUMIFS(Таблица1[Штуки],Таблица1[Ветка],Таблица1[[#This Row],[Ветка]],Таблица1[Месяц],Таблица1[[#This Row],[Месяц]])</f>
        <v>2.7777777777777776E-2</v>
      </c>
      <c r="L571" s="1">
        <v>184990</v>
      </c>
      <c r="M571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2.0543948769284316E-2</v>
      </c>
      <c r="N571" t="s">
        <v>96</v>
      </c>
      <c r="O571">
        <v>3</v>
      </c>
      <c r="P571">
        <v>5</v>
      </c>
      <c r="Q571">
        <v>0</v>
      </c>
      <c r="R571" t="s">
        <v>342</v>
      </c>
      <c r="S571">
        <v>128</v>
      </c>
      <c r="T571">
        <v>73.5</v>
      </c>
      <c r="U571">
        <v>83</v>
      </c>
      <c r="V571">
        <v>0</v>
      </c>
      <c r="W571">
        <v>-18</v>
      </c>
    </row>
    <row r="572" spans="1:23" x14ac:dyDescent="0.3">
      <c r="A572">
        <v>136188270</v>
      </c>
      <c r="B572" t="s">
        <v>341</v>
      </c>
      <c r="C572" t="s">
        <v>306</v>
      </c>
      <c r="D572" t="s">
        <v>30</v>
      </c>
      <c r="E572">
        <v>158</v>
      </c>
      <c r="F572" t="s">
        <v>351</v>
      </c>
      <c r="G572" t="s">
        <v>26</v>
      </c>
      <c r="H572" t="s">
        <v>319</v>
      </c>
      <c r="I572" s="1">
        <v>158898</v>
      </c>
      <c r="J572">
        <v>1</v>
      </c>
      <c r="K572" s="7">
        <f>Таблица1[[#This Row],[Штуки]]/SUMIFS(Таблица1[Штуки],Таблица1[Ветка],Таблица1[[#This Row],[Ветка]],Таблица1[Месяц],Таблица1[[#This Row],[Месяц]])</f>
        <v>1.3698630136986301E-2</v>
      </c>
      <c r="L572" s="1">
        <v>152990</v>
      </c>
      <c r="M572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5.0733002181031625E-3</v>
      </c>
      <c r="N572" t="s">
        <v>96</v>
      </c>
      <c r="O572">
        <v>3</v>
      </c>
      <c r="P572">
        <v>5</v>
      </c>
      <c r="Q572">
        <v>2</v>
      </c>
      <c r="R572" t="s">
        <v>344</v>
      </c>
      <c r="S572">
        <v>60.6</v>
      </c>
      <c r="T572">
        <v>85</v>
      </c>
      <c r="U572">
        <v>70</v>
      </c>
      <c r="V572">
        <v>1</v>
      </c>
      <c r="W572">
        <v>-18</v>
      </c>
    </row>
    <row r="573" spans="1:23" x14ac:dyDescent="0.3">
      <c r="A573">
        <v>123748471</v>
      </c>
      <c r="B573" t="s">
        <v>341</v>
      </c>
      <c r="C573" t="s">
        <v>167</v>
      </c>
      <c r="D573" t="s">
        <v>35</v>
      </c>
      <c r="E573">
        <v>112</v>
      </c>
      <c r="F573" t="s">
        <v>351</v>
      </c>
      <c r="G573" t="s">
        <v>185</v>
      </c>
      <c r="H573" t="s">
        <v>319</v>
      </c>
      <c r="I573" s="1">
        <v>99300</v>
      </c>
      <c r="J573">
        <v>1</v>
      </c>
      <c r="K573" s="7">
        <f>Таблица1[[#This Row],[Штуки]]/SUMIFS(Таблица1[Штуки],Таблица1[Ветка],Таблица1[[#This Row],[Ветка]],Таблица1[Месяц],Таблица1[[#This Row],[Месяц]])</f>
        <v>1.3698630136986301E-2</v>
      </c>
      <c r="L573" s="1">
        <v>99300</v>
      </c>
      <c r="M573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3.2928865393662596E-3</v>
      </c>
      <c r="N573" t="s">
        <v>96</v>
      </c>
      <c r="O573">
        <v>1</v>
      </c>
      <c r="P573">
        <v>5</v>
      </c>
      <c r="Q573">
        <v>0</v>
      </c>
      <c r="R573" t="s">
        <v>344</v>
      </c>
      <c r="S573">
        <v>66</v>
      </c>
      <c r="T573">
        <v>82</v>
      </c>
      <c r="U573">
        <v>48</v>
      </c>
      <c r="V573">
        <v>2</v>
      </c>
      <c r="W573">
        <v>-18</v>
      </c>
    </row>
    <row r="574" spans="1:23" x14ac:dyDescent="0.3">
      <c r="A574">
        <v>148982330</v>
      </c>
      <c r="B574" t="s">
        <v>341</v>
      </c>
      <c r="C574" t="s">
        <v>154</v>
      </c>
      <c r="D574" t="s">
        <v>46</v>
      </c>
      <c r="E574">
        <v>320</v>
      </c>
      <c r="F574" t="s">
        <v>353</v>
      </c>
      <c r="G574" t="s">
        <v>26</v>
      </c>
      <c r="H574" t="s">
        <v>319</v>
      </c>
      <c r="I574" s="1">
        <v>259990</v>
      </c>
      <c r="J574">
        <v>0</v>
      </c>
      <c r="K574" s="7">
        <f>Таблица1[[#This Row],[Штуки]]/SUMIFS(Таблица1[Штуки],Таблица1[Ветка],Таблица1[[#This Row],[Ветка]],Таблица1[Месяц],Таблица1[[#This Row],[Месяц]])</f>
        <v>0</v>
      </c>
      <c r="L574" s="1">
        <v>0</v>
      </c>
      <c r="M574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</v>
      </c>
      <c r="N574" t="s">
        <v>96</v>
      </c>
      <c r="O574">
        <v>1</v>
      </c>
      <c r="P574">
        <v>0</v>
      </c>
      <c r="Q574">
        <v>0</v>
      </c>
      <c r="R574" t="s">
        <v>344</v>
      </c>
      <c r="S574">
        <v>107.5</v>
      </c>
      <c r="T574">
        <v>81.8</v>
      </c>
      <c r="U574">
        <v>65</v>
      </c>
      <c r="V574">
        <v>4</v>
      </c>
      <c r="W574">
        <v>-24</v>
      </c>
    </row>
    <row r="575" spans="1:23" x14ac:dyDescent="0.3">
      <c r="A575">
        <v>131142601</v>
      </c>
      <c r="B575" t="s">
        <v>343</v>
      </c>
      <c r="C575" t="s">
        <v>103</v>
      </c>
      <c r="D575" t="s">
        <v>104</v>
      </c>
      <c r="E575">
        <v>650</v>
      </c>
      <c r="F575" t="s">
        <v>356</v>
      </c>
      <c r="G575" t="s">
        <v>26</v>
      </c>
      <c r="H575" t="s">
        <v>319</v>
      </c>
      <c r="I575" s="1">
        <v>850000</v>
      </c>
      <c r="J575">
        <v>0</v>
      </c>
      <c r="K575" s="7">
        <f>Таблица1[[#This Row],[Штуки]]/SUMIFS(Таблица1[Штуки],Таблица1[Ветка],Таблица1[[#This Row],[Ветка]],Таблица1[Месяц],Таблица1[[#This Row],[Месяц]])</f>
        <v>0</v>
      </c>
      <c r="L575" s="1">
        <v>0</v>
      </c>
      <c r="M575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</v>
      </c>
      <c r="N575" t="s">
        <v>96</v>
      </c>
      <c r="O575">
        <v>2</v>
      </c>
      <c r="P575">
        <v>5</v>
      </c>
      <c r="Q575">
        <v>3</v>
      </c>
      <c r="R575" t="s">
        <v>344</v>
      </c>
      <c r="S575">
        <v>193</v>
      </c>
      <c r="T575">
        <v>82.5</v>
      </c>
      <c r="U575">
        <v>71</v>
      </c>
      <c r="V575">
        <v>0</v>
      </c>
      <c r="W575">
        <v>-18</v>
      </c>
    </row>
    <row r="576" spans="1:23" x14ac:dyDescent="0.3">
      <c r="A576">
        <v>121428413</v>
      </c>
      <c r="B576" t="s">
        <v>341</v>
      </c>
      <c r="C576" t="s">
        <v>173</v>
      </c>
      <c r="D576" t="s">
        <v>35</v>
      </c>
      <c r="E576">
        <v>300</v>
      </c>
      <c r="F576" t="s">
        <v>353</v>
      </c>
      <c r="G576" t="s">
        <v>26</v>
      </c>
      <c r="H576" t="s">
        <v>319</v>
      </c>
      <c r="I576" s="1">
        <v>300000</v>
      </c>
      <c r="J576">
        <v>0</v>
      </c>
      <c r="K576" s="7">
        <f>Таблица1[[#This Row],[Штуки]]/SUMIFS(Таблица1[Штуки],Таблица1[Ветка],Таблица1[[#This Row],[Ветка]],Таблица1[Месяц],Таблица1[[#This Row],[Месяц]])</f>
        <v>0</v>
      </c>
      <c r="L576" s="1">
        <v>0</v>
      </c>
      <c r="M576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</v>
      </c>
      <c r="N576" t="s">
        <v>96</v>
      </c>
      <c r="O576">
        <v>1</v>
      </c>
      <c r="P576">
        <v>4.8</v>
      </c>
      <c r="Q576">
        <v>97</v>
      </c>
      <c r="R576" t="s">
        <v>344</v>
      </c>
      <c r="S576">
        <v>130</v>
      </c>
      <c r="T576">
        <v>85</v>
      </c>
      <c r="U576">
        <v>60</v>
      </c>
      <c r="V576">
        <v>5</v>
      </c>
      <c r="W576">
        <v>-15</v>
      </c>
    </row>
    <row r="577" spans="1:23" x14ac:dyDescent="0.3">
      <c r="A577">
        <v>146322919</v>
      </c>
      <c r="B577" t="s">
        <v>341</v>
      </c>
      <c r="C577" t="s">
        <v>138</v>
      </c>
      <c r="D577" t="s">
        <v>41</v>
      </c>
      <c r="E577">
        <v>700</v>
      </c>
      <c r="F577" t="s">
        <v>357</v>
      </c>
      <c r="G577" t="s">
        <v>42</v>
      </c>
      <c r="H577" t="s">
        <v>319</v>
      </c>
      <c r="I577" s="1">
        <v>395000</v>
      </c>
      <c r="J577">
        <v>0</v>
      </c>
      <c r="K577" s="7">
        <f>Таблица1[[#This Row],[Штуки]]/SUMIFS(Таблица1[Штуки],Таблица1[Ветка],Таблица1[[#This Row],[Ветка]],Таблица1[Месяц],Таблица1[[#This Row],[Месяц]])</f>
        <v>0</v>
      </c>
      <c r="L577" s="1">
        <v>0</v>
      </c>
      <c r="M577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</v>
      </c>
      <c r="N577" t="s">
        <v>96</v>
      </c>
      <c r="O577">
        <v>1</v>
      </c>
      <c r="P577">
        <v>5</v>
      </c>
      <c r="Q577">
        <v>0</v>
      </c>
      <c r="R577" t="s">
        <v>342</v>
      </c>
      <c r="S577">
        <v>200</v>
      </c>
      <c r="T577">
        <v>88</v>
      </c>
      <c r="U577">
        <v>82</v>
      </c>
      <c r="V577">
        <v>6</v>
      </c>
      <c r="W577">
        <v>-20</v>
      </c>
    </row>
    <row r="578" spans="1:23" x14ac:dyDescent="0.3">
      <c r="A578">
        <v>103353026</v>
      </c>
      <c r="B578" t="s">
        <v>343</v>
      </c>
      <c r="C578" t="s">
        <v>161</v>
      </c>
      <c r="D578" t="s">
        <v>71</v>
      </c>
      <c r="E578">
        <v>558</v>
      </c>
      <c r="F578" t="s">
        <v>355</v>
      </c>
      <c r="G578" t="s">
        <v>26</v>
      </c>
      <c r="H578" t="s">
        <v>319</v>
      </c>
      <c r="I578" s="1">
        <v>268500</v>
      </c>
      <c r="J578">
        <v>0</v>
      </c>
      <c r="K578" s="7">
        <f>Таблица1[[#This Row],[Штуки]]/SUMIFS(Таблица1[Штуки],Таблица1[Ветка],Таблица1[[#This Row],[Ветка]],Таблица1[Месяц],Таблица1[[#This Row],[Месяц]])</f>
        <v>0</v>
      </c>
      <c r="L578" s="1">
        <v>0</v>
      </c>
      <c r="M578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</v>
      </c>
      <c r="N578" t="s">
        <v>96</v>
      </c>
      <c r="O578">
        <v>1</v>
      </c>
      <c r="P578">
        <v>4.9000000000000004</v>
      </c>
      <c r="Q578">
        <v>24</v>
      </c>
      <c r="R578" t="s">
        <v>344</v>
      </c>
      <c r="S578">
        <v>157</v>
      </c>
      <c r="T578">
        <v>86</v>
      </c>
      <c r="U578">
        <v>80</v>
      </c>
      <c r="V578">
        <v>1</v>
      </c>
      <c r="W578">
        <v>-18</v>
      </c>
    </row>
    <row r="579" spans="1:23" x14ac:dyDescent="0.3">
      <c r="A579">
        <v>106253836</v>
      </c>
      <c r="B579" t="s">
        <v>341</v>
      </c>
      <c r="C579" t="s">
        <v>144</v>
      </c>
      <c r="D579" t="s">
        <v>87</v>
      </c>
      <c r="E579">
        <v>500</v>
      </c>
      <c r="F579" t="s">
        <v>355</v>
      </c>
      <c r="G579" t="s">
        <v>82</v>
      </c>
      <c r="H579" t="s">
        <v>319</v>
      </c>
      <c r="I579" s="1">
        <v>400000</v>
      </c>
      <c r="J579">
        <v>0</v>
      </c>
      <c r="K579" s="7">
        <f>Таблица1[[#This Row],[Штуки]]/SUMIFS(Таблица1[Штуки],Таблица1[Ветка],Таблица1[[#This Row],[Ветка]],Таблица1[Месяц],Таблица1[[#This Row],[Месяц]])</f>
        <v>0</v>
      </c>
      <c r="L579" s="1">
        <v>0</v>
      </c>
      <c r="M579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</v>
      </c>
      <c r="N579" t="s">
        <v>96</v>
      </c>
      <c r="O579">
        <v>1</v>
      </c>
      <c r="P579">
        <v>0</v>
      </c>
      <c r="Q579">
        <v>0</v>
      </c>
      <c r="R579" t="s">
        <v>345</v>
      </c>
      <c r="S579">
        <v>141</v>
      </c>
      <c r="T579">
        <v>85</v>
      </c>
      <c r="U579">
        <v>60</v>
      </c>
      <c r="V579">
        <v>7</v>
      </c>
      <c r="W579">
        <v>0</v>
      </c>
    </row>
    <row r="580" spans="1:23" x14ac:dyDescent="0.3">
      <c r="A580">
        <v>114880698</v>
      </c>
      <c r="B580" t="s">
        <v>341</v>
      </c>
      <c r="C580" t="s">
        <v>89</v>
      </c>
      <c r="D580" t="s">
        <v>46</v>
      </c>
      <c r="E580">
        <v>1110</v>
      </c>
      <c r="F580" t="s">
        <v>361</v>
      </c>
      <c r="G580" t="s">
        <v>26</v>
      </c>
      <c r="H580" t="s">
        <v>319</v>
      </c>
      <c r="I580" s="1">
        <v>724335</v>
      </c>
      <c r="J580">
        <v>0</v>
      </c>
      <c r="K580" s="7">
        <f>Таблица1[[#This Row],[Штуки]]/SUMIFS(Таблица1[Штуки],Таблица1[Ветка],Таблица1[[#This Row],[Ветка]],Таблица1[Месяц],Таблица1[[#This Row],[Месяц]])</f>
        <v>0</v>
      </c>
      <c r="L580" s="1">
        <v>0</v>
      </c>
      <c r="M580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</v>
      </c>
      <c r="N580" t="s">
        <v>96</v>
      </c>
      <c r="O580">
        <v>4</v>
      </c>
      <c r="P580">
        <v>5</v>
      </c>
      <c r="Q580">
        <v>1</v>
      </c>
      <c r="R580" t="s">
        <v>345</v>
      </c>
      <c r="S580">
        <v>250</v>
      </c>
      <c r="T580">
        <v>81</v>
      </c>
      <c r="U580">
        <v>85.5</v>
      </c>
      <c r="V580">
        <v>7</v>
      </c>
      <c r="W580">
        <v>-24</v>
      </c>
    </row>
    <row r="581" spans="1:23" x14ac:dyDescent="0.3">
      <c r="A581">
        <v>137868518</v>
      </c>
      <c r="B581" t="s">
        <v>341</v>
      </c>
      <c r="C581" t="s">
        <v>126</v>
      </c>
      <c r="D581" t="s">
        <v>52</v>
      </c>
      <c r="E581">
        <v>265</v>
      </c>
      <c r="F581" t="s">
        <v>352</v>
      </c>
      <c r="G581" t="s">
        <v>21</v>
      </c>
      <c r="H581" t="s">
        <v>319</v>
      </c>
      <c r="I581" s="1">
        <v>205000</v>
      </c>
      <c r="J581">
        <v>0</v>
      </c>
      <c r="K581" s="7">
        <f>Таблица1[[#This Row],[Штуки]]/SUMIFS(Таблица1[Штуки],Таблица1[Ветка],Таблица1[[#This Row],[Ветка]],Таблица1[Месяц],Таблица1[[#This Row],[Месяц]])</f>
        <v>0</v>
      </c>
      <c r="L581" s="1">
        <v>0</v>
      </c>
      <c r="M581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</v>
      </c>
      <c r="N581" t="s">
        <v>96</v>
      </c>
      <c r="O581">
        <v>6</v>
      </c>
      <c r="P581">
        <v>0</v>
      </c>
      <c r="Q581">
        <v>0</v>
      </c>
      <c r="R581" t="s">
        <v>344</v>
      </c>
      <c r="S581">
        <v>100</v>
      </c>
      <c r="T581">
        <v>90</v>
      </c>
      <c r="U581">
        <v>64</v>
      </c>
      <c r="V581">
        <v>3</v>
      </c>
      <c r="W581">
        <v>-18</v>
      </c>
    </row>
    <row r="582" spans="1:23" x14ac:dyDescent="0.3">
      <c r="A582">
        <v>119662367</v>
      </c>
      <c r="B582" t="s">
        <v>341</v>
      </c>
      <c r="C582" t="s">
        <v>282</v>
      </c>
      <c r="D582" t="s">
        <v>35</v>
      </c>
      <c r="E582">
        <v>150</v>
      </c>
      <c r="F582" t="s">
        <v>351</v>
      </c>
      <c r="G582" t="s">
        <v>179</v>
      </c>
      <c r="H582" t="s">
        <v>319</v>
      </c>
      <c r="I582" s="1">
        <v>140000</v>
      </c>
      <c r="J582">
        <v>0</v>
      </c>
      <c r="K582" s="7">
        <f>Таблица1[[#This Row],[Штуки]]/SUMIFS(Таблица1[Штуки],Таблица1[Ветка],Таблица1[[#This Row],[Ветка]],Таблица1[Месяц],Таблица1[[#This Row],[Месяц]])</f>
        <v>0</v>
      </c>
      <c r="L582" s="1">
        <v>0</v>
      </c>
      <c r="M582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</v>
      </c>
      <c r="N582" t="s">
        <v>96</v>
      </c>
      <c r="O582">
        <v>1</v>
      </c>
      <c r="P582">
        <v>5</v>
      </c>
      <c r="Q582">
        <v>0</v>
      </c>
      <c r="R582" t="s">
        <v>344</v>
      </c>
      <c r="S582">
        <v>75</v>
      </c>
      <c r="T582">
        <v>85</v>
      </c>
      <c r="U582">
        <v>56</v>
      </c>
      <c r="V582">
        <v>3</v>
      </c>
      <c r="W582">
        <v>0</v>
      </c>
    </row>
    <row r="583" spans="1:23" x14ac:dyDescent="0.3">
      <c r="A583">
        <v>148807907</v>
      </c>
      <c r="B583" t="s">
        <v>343</v>
      </c>
      <c r="C583" t="s">
        <v>280</v>
      </c>
      <c r="D583" t="s">
        <v>74</v>
      </c>
      <c r="E583">
        <v>600</v>
      </c>
      <c r="F583" t="s">
        <v>356</v>
      </c>
      <c r="G583" t="s">
        <v>179</v>
      </c>
      <c r="H583" t="s">
        <v>319</v>
      </c>
      <c r="I583" s="1">
        <v>254789</v>
      </c>
      <c r="J583">
        <v>0</v>
      </c>
      <c r="K583" s="7">
        <f>Таблица1[[#This Row],[Штуки]]/SUMIFS(Таблица1[Штуки],Таблица1[Ветка],Таблица1[[#This Row],[Ветка]],Таблица1[Месяц],Таблица1[[#This Row],[Месяц]])</f>
        <v>0</v>
      </c>
      <c r="L583" s="1">
        <v>0</v>
      </c>
      <c r="M583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</v>
      </c>
      <c r="N583" t="s">
        <v>96</v>
      </c>
      <c r="O583">
        <v>3</v>
      </c>
      <c r="P583">
        <v>4.5999999999999996</v>
      </c>
      <c r="Q583">
        <v>4</v>
      </c>
      <c r="R583" t="s">
        <v>342</v>
      </c>
      <c r="S583">
        <v>170.3</v>
      </c>
      <c r="T583">
        <v>88.5</v>
      </c>
      <c r="U583">
        <v>76</v>
      </c>
      <c r="V583">
        <v>0</v>
      </c>
      <c r="W583">
        <v>-17</v>
      </c>
    </row>
    <row r="584" spans="1:23" x14ac:dyDescent="0.3">
      <c r="A584">
        <v>100620910</v>
      </c>
      <c r="B584" t="s">
        <v>343</v>
      </c>
      <c r="C584" t="s">
        <v>92</v>
      </c>
      <c r="D584" t="s">
        <v>93</v>
      </c>
      <c r="E584">
        <v>555</v>
      </c>
      <c r="F584" t="s">
        <v>355</v>
      </c>
      <c r="G584" t="s">
        <v>26</v>
      </c>
      <c r="H584" t="s">
        <v>319</v>
      </c>
      <c r="I584" s="1">
        <v>268000</v>
      </c>
      <c r="J584">
        <v>0</v>
      </c>
      <c r="K584" s="7">
        <f>Таблица1[[#This Row],[Штуки]]/SUMIFS(Таблица1[Штуки],Таблица1[Ветка],Таблица1[[#This Row],[Ветка]],Таблица1[Месяц],Таблица1[[#This Row],[Месяц]])</f>
        <v>0</v>
      </c>
      <c r="L584" s="1">
        <v>0</v>
      </c>
      <c r="M584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</v>
      </c>
      <c r="N584" t="s">
        <v>96</v>
      </c>
      <c r="O584">
        <v>1</v>
      </c>
      <c r="P584">
        <v>5</v>
      </c>
      <c r="Q584">
        <v>4</v>
      </c>
      <c r="R584" t="s">
        <v>344</v>
      </c>
      <c r="S584">
        <v>160</v>
      </c>
      <c r="T584">
        <v>82.7</v>
      </c>
      <c r="U584">
        <v>76</v>
      </c>
      <c r="V584">
        <v>2</v>
      </c>
      <c r="W584">
        <v>-18</v>
      </c>
    </row>
    <row r="585" spans="1:23" x14ac:dyDescent="0.3">
      <c r="A585">
        <v>154663956</v>
      </c>
      <c r="B585" t="s">
        <v>341</v>
      </c>
      <c r="C585" t="s">
        <v>233</v>
      </c>
      <c r="D585" t="s">
        <v>115</v>
      </c>
      <c r="E585">
        <v>518</v>
      </c>
      <c r="F585" t="s">
        <v>355</v>
      </c>
      <c r="G585" t="s">
        <v>180</v>
      </c>
      <c r="H585" t="s">
        <v>319</v>
      </c>
      <c r="I585" s="1">
        <v>280000</v>
      </c>
      <c r="J585">
        <v>0</v>
      </c>
      <c r="K585" s="7">
        <f>Таблица1[[#This Row],[Штуки]]/SUMIFS(Таблица1[Штуки],Таблица1[Ветка],Таблица1[[#This Row],[Ветка]],Таблица1[Месяц],Таблица1[[#This Row],[Месяц]])</f>
        <v>0</v>
      </c>
      <c r="L585" s="1">
        <v>0</v>
      </c>
      <c r="M585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</v>
      </c>
      <c r="N585" t="s">
        <v>96</v>
      </c>
      <c r="O585">
        <v>1</v>
      </c>
      <c r="P585">
        <v>0</v>
      </c>
      <c r="Q585">
        <v>0</v>
      </c>
      <c r="R585" t="s">
        <v>344</v>
      </c>
      <c r="S585">
        <v>150</v>
      </c>
      <c r="T585">
        <v>83.5</v>
      </c>
      <c r="U585">
        <v>75</v>
      </c>
      <c r="V585">
        <v>5</v>
      </c>
      <c r="W585">
        <v>-20</v>
      </c>
    </row>
    <row r="586" spans="1:23" x14ac:dyDescent="0.3">
      <c r="A586">
        <v>100620951</v>
      </c>
      <c r="B586" t="s">
        <v>341</v>
      </c>
      <c r="C586" t="s">
        <v>278</v>
      </c>
      <c r="D586" t="s">
        <v>93</v>
      </c>
      <c r="E586">
        <v>550</v>
      </c>
      <c r="F586" t="s">
        <v>355</v>
      </c>
      <c r="G586" t="s">
        <v>179</v>
      </c>
      <c r="H586" t="s">
        <v>319</v>
      </c>
      <c r="I586" s="1">
        <v>389900</v>
      </c>
      <c r="J586">
        <v>0</v>
      </c>
      <c r="K586" s="7">
        <f>Таблица1[[#This Row],[Штуки]]/SUMIFS(Таблица1[Штуки],Таблица1[Ветка],Таблица1[[#This Row],[Ветка]],Таблица1[Месяц],Таблица1[[#This Row],[Месяц]])</f>
        <v>0</v>
      </c>
      <c r="L586" s="1">
        <v>0</v>
      </c>
      <c r="M586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</v>
      </c>
      <c r="N586" t="s">
        <v>96</v>
      </c>
      <c r="O586">
        <v>2</v>
      </c>
      <c r="P586">
        <v>5</v>
      </c>
      <c r="Q586">
        <v>17</v>
      </c>
      <c r="R586" t="s">
        <v>344</v>
      </c>
      <c r="S586">
        <v>163.4</v>
      </c>
      <c r="T586">
        <v>90</v>
      </c>
      <c r="U586">
        <v>65.3</v>
      </c>
      <c r="V586">
        <v>5</v>
      </c>
      <c r="W586">
        <v>0</v>
      </c>
    </row>
    <row r="587" spans="1:23" x14ac:dyDescent="0.3">
      <c r="A587">
        <v>150941920</v>
      </c>
      <c r="B587" t="s">
        <v>341</v>
      </c>
      <c r="C587" t="s">
        <v>232</v>
      </c>
      <c r="D587" t="s">
        <v>135</v>
      </c>
      <c r="E587">
        <v>518</v>
      </c>
      <c r="F587" t="s">
        <v>355</v>
      </c>
      <c r="G587" t="s">
        <v>180</v>
      </c>
      <c r="H587" t="s">
        <v>319</v>
      </c>
      <c r="I587" s="1">
        <v>289523</v>
      </c>
      <c r="J587">
        <v>0</v>
      </c>
      <c r="K587" s="7">
        <f>Таблица1[[#This Row],[Штуки]]/SUMIFS(Таблица1[Штуки],Таблица1[Ветка],Таблица1[[#This Row],[Ветка]],Таблица1[Месяц],Таблица1[[#This Row],[Месяц]])</f>
        <v>0</v>
      </c>
      <c r="L587" s="1">
        <v>0</v>
      </c>
      <c r="M587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</v>
      </c>
      <c r="N587" t="s">
        <v>96</v>
      </c>
      <c r="O587">
        <v>1</v>
      </c>
      <c r="P587">
        <v>0</v>
      </c>
      <c r="Q587">
        <v>0</v>
      </c>
      <c r="R587" t="s">
        <v>344</v>
      </c>
      <c r="S587">
        <v>149.5</v>
      </c>
      <c r="T587">
        <v>85</v>
      </c>
      <c r="U587">
        <v>76.5</v>
      </c>
      <c r="V587">
        <v>4</v>
      </c>
      <c r="W587">
        <v>-20</v>
      </c>
    </row>
    <row r="588" spans="1:23" x14ac:dyDescent="0.3">
      <c r="A588">
        <v>141392200</v>
      </c>
      <c r="B588" t="s">
        <v>341</v>
      </c>
      <c r="C588" t="s">
        <v>277</v>
      </c>
      <c r="D588" t="s">
        <v>46</v>
      </c>
      <c r="E588">
        <v>500</v>
      </c>
      <c r="F588" t="s">
        <v>355</v>
      </c>
      <c r="G588" t="s">
        <v>179</v>
      </c>
      <c r="H588" t="s">
        <v>319</v>
      </c>
      <c r="I588" s="1">
        <v>329990</v>
      </c>
      <c r="J588">
        <v>0</v>
      </c>
      <c r="K588" s="7">
        <f>Таблица1[[#This Row],[Штуки]]/SUMIFS(Таблица1[Штуки],Таблица1[Ветка],Таблица1[[#This Row],[Ветка]],Таблица1[Месяц],Таблица1[[#This Row],[Месяц]])</f>
        <v>0</v>
      </c>
      <c r="L588" s="1">
        <v>0</v>
      </c>
      <c r="M588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</v>
      </c>
      <c r="N588" t="s">
        <v>96</v>
      </c>
      <c r="O588">
        <v>2</v>
      </c>
      <c r="P588">
        <v>0</v>
      </c>
      <c r="Q588">
        <v>0</v>
      </c>
      <c r="R588" t="s">
        <v>344</v>
      </c>
      <c r="S588">
        <v>155</v>
      </c>
      <c r="T588">
        <v>82</v>
      </c>
      <c r="U588">
        <v>65</v>
      </c>
      <c r="V588">
        <v>6</v>
      </c>
      <c r="W588">
        <v>-24</v>
      </c>
    </row>
    <row r="589" spans="1:23" x14ac:dyDescent="0.3">
      <c r="A589">
        <v>143231818</v>
      </c>
      <c r="B589" t="s">
        <v>343</v>
      </c>
      <c r="C589" t="s">
        <v>275</v>
      </c>
      <c r="D589" t="s">
        <v>276</v>
      </c>
      <c r="E589">
        <v>508</v>
      </c>
      <c r="F589" t="s">
        <v>355</v>
      </c>
      <c r="G589" t="s">
        <v>179</v>
      </c>
      <c r="H589" t="s">
        <v>319</v>
      </c>
      <c r="I589" s="1">
        <v>349990</v>
      </c>
      <c r="J589">
        <v>0</v>
      </c>
      <c r="K589" s="7">
        <f>Таблица1[[#This Row],[Штуки]]/SUMIFS(Таблица1[Штуки],Таблица1[Ветка],Таблица1[[#This Row],[Ветка]],Таблица1[Месяц],Таблица1[[#This Row],[Месяц]])</f>
        <v>0</v>
      </c>
      <c r="L589" s="1">
        <v>0</v>
      </c>
      <c r="M589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</v>
      </c>
      <c r="N589" t="s">
        <v>96</v>
      </c>
      <c r="O589">
        <v>1</v>
      </c>
      <c r="P589">
        <v>5</v>
      </c>
      <c r="Q589">
        <v>25</v>
      </c>
      <c r="R589" t="s">
        <v>344</v>
      </c>
      <c r="S589">
        <v>164</v>
      </c>
      <c r="T589">
        <v>88</v>
      </c>
      <c r="U589">
        <v>70.5</v>
      </c>
      <c r="V589">
        <v>1</v>
      </c>
      <c r="W589">
        <v>-22</v>
      </c>
    </row>
    <row r="590" spans="1:23" x14ac:dyDescent="0.3">
      <c r="A590">
        <v>129482952</v>
      </c>
      <c r="B590" t="s">
        <v>341</v>
      </c>
      <c r="C590" t="s">
        <v>273</v>
      </c>
      <c r="D590" t="s">
        <v>274</v>
      </c>
      <c r="E590">
        <v>551</v>
      </c>
      <c r="F590" t="s">
        <v>355</v>
      </c>
      <c r="G590" t="s">
        <v>179</v>
      </c>
      <c r="H590" t="s">
        <v>319</v>
      </c>
      <c r="I590" s="1">
        <v>349900</v>
      </c>
      <c r="J590">
        <v>0</v>
      </c>
      <c r="K590" s="7">
        <f>Таблица1[[#This Row],[Штуки]]/SUMIFS(Таблица1[Штуки],Таблица1[Ветка],Таблица1[[#This Row],[Ветка]],Таблица1[Месяц],Таблица1[[#This Row],[Месяц]])</f>
        <v>0</v>
      </c>
      <c r="L590" s="1">
        <v>0</v>
      </c>
      <c r="M590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</v>
      </c>
      <c r="N590" t="s">
        <v>96</v>
      </c>
      <c r="O590">
        <v>2</v>
      </c>
      <c r="P590">
        <v>5</v>
      </c>
      <c r="Q590">
        <v>0</v>
      </c>
      <c r="R590" t="s">
        <v>342</v>
      </c>
      <c r="S590">
        <v>153</v>
      </c>
      <c r="T590">
        <v>90</v>
      </c>
      <c r="U590">
        <v>72</v>
      </c>
      <c r="V590">
        <v>6</v>
      </c>
      <c r="W590">
        <v>-23</v>
      </c>
    </row>
    <row r="591" spans="1:23" x14ac:dyDescent="0.3">
      <c r="A591">
        <v>106636721</v>
      </c>
      <c r="B591" t="s">
        <v>341</v>
      </c>
      <c r="C591" t="s">
        <v>231</v>
      </c>
      <c r="D591" t="s">
        <v>71</v>
      </c>
      <c r="E591">
        <v>600</v>
      </c>
      <c r="F591" t="s">
        <v>356</v>
      </c>
      <c r="G591" t="s">
        <v>180</v>
      </c>
      <c r="H591" t="s">
        <v>319</v>
      </c>
      <c r="I591" s="1">
        <v>371000</v>
      </c>
      <c r="J591">
        <v>0</v>
      </c>
      <c r="K591" s="7">
        <f>Таблица1[[#This Row],[Штуки]]/SUMIFS(Таблица1[Штуки],Таблица1[Ветка],Таблица1[[#This Row],[Ветка]],Таблица1[Месяц],Таблица1[[#This Row],[Месяц]])</f>
        <v>0</v>
      </c>
      <c r="L591" s="1">
        <v>0</v>
      </c>
      <c r="M591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</v>
      </c>
      <c r="N591" t="s">
        <v>96</v>
      </c>
      <c r="O591">
        <v>1</v>
      </c>
      <c r="P591">
        <v>5</v>
      </c>
      <c r="Q591">
        <v>1</v>
      </c>
      <c r="R591" t="s">
        <v>344</v>
      </c>
      <c r="S591">
        <v>165</v>
      </c>
      <c r="T591">
        <v>87</v>
      </c>
      <c r="U591">
        <v>76</v>
      </c>
      <c r="V591">
        <v>5</v>
      </c>
      <c r="W591">
        <v>0</v>
      </c>
    </row>
    <row r="592" spans="1:23" x14ac:dyDescent="0.3">
      <c r="A592">
        <v>154652597</v>
      </c>
      <c r="B592" t="s">
        <v>341</v>
      </c>
      <c r="C592" t="s">
        <v>134</v>
      </c>
      <c r="D592" t="s">
        <v>135</v>
      </c>
      <c r="E592">
        <v>718</v>
      </c>
      <c r="F592" t="s">
        <v>357</v>
      </c>
      <c r="G592" t="s">
        <v>31</v>
      </c>
      <c r="H592" t="s">
        <v>319</v>
      </c>
      <c r="I592" s="1">
        <v>350000</v>
      </c>
      <c r="J592">
        <v>0</v>
      </c>
      <c r="K592" s="7">
        <f>Таблица1[[#This Row],[Штуки]]/SUMIFS(Таблица1[Штуки],Таблица1[Ветка],Таблица1[[#This Row],[Ветка]],Таблица1[Месяц],Таблица1[[#This Row],[Месяц]])</f>
        <v>0</v>
      </c>
      <c r="L592" s="1">
        <v>0</v>
      </c>
      <c r="M592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</v>
      </c>
      <c r="N592" t="s">
        <v>96</v>
      </c>
      <c r="O592">
        <v>1</v>
      </c>
      <c r="P592">
        <v>0</v>
      </c>
      <c r="Q592">
        <v>0</v>
      </c>
      <c r="R592" t="s">
        <v>344</v>
      </c>
      <c r="S592">
        <v>200</v>
      </c>
      <c r="T592">
        <v>85</v>
      </c>
      <c r="U592">
        <v>75</v>
      </c>
      <c r="V592">
        <v>6</v>
      </c>
      <c r="W592">
        <v>-20</v>
      </c>
    </row>
    <row r="593" spans="1:23" x14ac:dyDescent="0.3">
      <c r="A593">
        <v>108427272</v>
      </c>
      <c r="B593" t="s">
        <v>343</v>
      </c>
      <c r="C593" t="s">
        <v>229</v>
      </c>
      <c r="D593" t="s">
        <v>71</v>
      </c>
      <c r="E593">
        <v>800</v>
      </c>
      <c r="F593" t="s">
        <v>358</v>
      </c>
      <c r="G593" t="s">
        <v>179</v>
      </c>
      <c r="H593" t="s">
        <v>319</v>
      </c>
      <c r="I593" s="1">
        <v>379990</v>
      </c>
      <c r="J593">
        <v>0</v>
      </c>
      <c r="K593" s="7">
        <f>Таблица1[[#This Row],[Штуки]]/SUMIFS(Таблица1[Штуки],Таблица1[Ветка],Таблица1[[#This Row],[Ветка]],Таблица1[Месяц],Таблица1[[#This Row],[Месяц]])</f>
        <v>0</v>
      </c>
      <c r="L593" s="1">
        <v>0</v>
      </c>
      <c r="M593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</v>
      </c>
      <c r="N593" t="s">
        <v>96</v>
      </c>
      <c r="O593">
        <v>1</v>
      </c>
      <c r="P593">
        <v>5</v>
      </c>
      <c r="Q593">
        <v>15</v>
      </c>
      <c r="R593" t="s">
        <v>344</v>
      </c>
      <c r="S593">
        <v>195</v>
      </c>
      <c r="T593">
        <v>88</v>
      </c>
      <c r="U593">
        <v>84</v>
      </c>
      <c r="V593">
        <v>2</v>
      </c>
      <c r="W593">
        <v>-18</v>
      </c>
    </row>
    <row r="594" spans="1:23" x14ac:dyDescent="0.3">
      <c r="A594">
        <v>136844048</v>
      </c>
      <c r="B594" t="s">
        <v>341</v>
      </c>
      <c r="C594" t="s">
        <v>228</v>
      </c>
      <c r="D594" t="s">
        <v>46</v>
      </c>
      <c r="E594">
        <v>570</v>
      </c>
      <c r="F594" t="s">
        <v>355</v>
      </c>
      <c r="G594" t="s">
        <v>179</v>
      </c>
      <c r="H594" t="s">
        <v>319</v>
      </c>
      <c r="I594" s="1">
        <v>379990</v>
      </c>
      <c r="J594">
        <v>0</v>
      </c>
      <c r="K594" s="7">
        <f>Таблица1[[#This Row],[Штуки]]/SUMIFS(Таблица1[Штуки],Таблица1[Ветка],Таблица1[[#This Row],[Ветка]],Таблица1[Месяц],Таблица1[[#This Row],[Месяц]])</f>
        <v>0</v>
      </c>
      <c r="L594" s="1">
        <v>0</v>
      </c>
      <c r="M594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</v>
      </c>
      <c r="N594" t="s">
        <v>96</v>
      </c>
      <c r="O594">
        <v>3</v>
      </c>
      <c r="P594">
        <v>5</v>
      </c>
      <c r="Q594">
        <v>0</v>
      </c>
      <c r="R594" t="s">
        <v>344</v>
      </c>
      <c r="S594">
        <v>175</v>
      </c>
      <c r="T594">
        <v>81.8</v>
      </c>
      <c r="U594">
        <v>65</v>
      </c>
      <c r="V594">
        <v>6</v>
      </c>
      <c r="W594">
        <v>-24</v>
      </c>
    </row>
    <row r="595" spans="1:23" x14ac:dyDescent="0.3">
      <c r="A595">
        <v>155336923</v>
      </c>
      <c r="B595" t="s">
        <v>341</v>
      </c>
      <c r="C595" t="s">
        <v>271</v>
      </c>
      <c r="D595" t="s">
        <v>115</v>
      </c>
      <c r="E595">
        <v>900</v>
      </c>
      <c r="F595" t="s">
        <v>359</v>
      </c>
      <c r="G595" t="s">
        <v>183</v>
      </c>
      <c r="H595" t="s">
        <v>319</v>
      </c>
      <c r="I595" s="1">
        <v>450000</v>
      </c>
      <c r="J595">
        <v>0</v>
      </c>
      <c r="K595" s="7">
        <f>Таблица1[[#This Row],[Штуки]]/SUMIFS(Таблица1[Штуки],Таблица1[Ветка],Таблица1[[#This Row],[Ветка]],Таблица1[Месяц],Таблица1[[#This Row],[Месяц]])</f>
        <v>0</v>
      </c>
      <c r="L595" s="1">
        <v>0</v>
      </c>
      <c r="M595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</v>
      </c>
      <c r="N595" t="s">
        <v>96</v>
      </c>
      <c r="O595">
        <v>1</v>
      </c>
      <c r="P595">
        <v>0</v>
      </c>
      <c r="Q595">
        <v>0</v>
      </c>
      <c r="R595" t="s">
        <v>342</v>
      </c>
      <c r="S595">
        <v>200</v>
      </c>
      <c r="T595">
        <v>85</v>
      </c>
      <c r="U595">
        <v>88</v>
      </c>
      <c r="V595">
        <v>7</v>
      </c>
      <c r="W595">
        <v>-26</v>
      </c>
    </row>
    <row r="596" spans="1:23" x14ac:dyDescent="0.3">
      <c r="A596">
        <v>113187256</v>
      </c>
      <c r="B596" t="s">
        <v>341</v>
      </c>
      <c r="C596" t="s">
        <v>139</v>
      </c>
      <c r="D596" t="s">
        <v>87</v>
      </c>
      <c r="E596">
        <v>500</v>
      </c>
      <c r="F596" t="s">
        <v>355</v>
      </c>
      <c r="G596" t="s">
        <v>270</v>
      </c>
      <c r="H596" t="s">
        <v>319</v>
      </c>
      <c r="I596" s="1">
        <v>395000</v>
      </c>
      <c r="J596">
        <v>0</v>
      </c>
      <c r="K596" s="7">
        <f>Таблица1[[#This Row],[Штуки]]/SUMIFS(Таблица1[Штуки],Таблица1[Ветка],Таблица1[[#This Row],[Ветка]],Таблица1[Месяц],Таблица1[[#This Row],[Месяц]])</f>
        <v>0</v>
      </c>
      <c r="L596" s="1">
        <v>0</v>
      </c>
      <c r="M596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</v>
      </c>
      <c r="N596" t="s">
        <v>96</v>
      </c>
      <c r="O596">
        <v>1</v>
      </c>
      <c r="P596">
        <v>4.3</v>
      </c>
      <c r="Q596">
        <v>4</v>
      </c>
      <c r="R596" t="s">
        <v>344</v>
      </c>
      <c r="S596">
        <v>140</v>
      </c>
      <c r="T596">
        <v>84</v>
      </c>
      <c r="U596">
        <v>60</v>
      </c>
      <c r="V596">
        <v>5</v>
      </c>
      <c r="W596">
        <v>-22</v>
      </c>
    </row>
    <row r="597" spans="1:23" x14ac:dyDescent="0.3">
      <c r="A597">
        <v>100843154</v>
      </c>
      <c r="B597" t="s">
        <v>343</v>
      </c>
      <c r="C597" t="s">
        <v>269</v>
      </c>
      <c r="D597" t="s">
        <v>87</v>
      </c>
      <c r="E597">
        <v>600</v>
      </c>
      <c r="F597" t="s">
        <v>356</v>
      </c>
      <c r="G597" t="s">
        <v>179</v>
      </c>
      <c r="H597" t="s">
        <v>319</v>
      </c>
      <c r="I597" s="1">
        <v>440000</v>
      </c>
      <c r="J597">
        <v>0</v>
      </c>
      <c r="K597" s="7">
        <f>Таблица1[[#This Row],[Штуки]]/SUMIFS(Таблица1[Штуки],Таблица1[Ветка],Таблица1[[#This Row],[Ветка]],Таблица1[Месяц],Таблица1[[#This Row],[Месяц]])</f>
        <v>0</v>
      </c>
      <c r="L597" s="1">
        <v>0</v>
      </c>
      <c r="M597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</v>
      </c>
      <c r="N597" t="s">
        <v>96</v>
      </c>
      <c r="O597">
        <v>1</v>
      </c>
      <c r="P597">
        <v>4.4000000000000004</v>
      </c>
      <c r="Q597">
        <v>4</v>
      </c>
      <c r="R597" t="s">
        <v>345</v>
      </c>
      <c r="S597">
        <v>160</v>
      </c>
      <c r="T597">
        <v>82</v>
      </c>
      <c r="U597">
        <v>60</v>
      </c>
      <c r="V597">
        <v>0</v>
      </c>
      <c r="W597">
        <v>0</v>
      </c>
    </row>
    <row r="598" spans="1:23" x14ac:dyDescent="0.3">
      <c r="A598">
        <v>155757762</v>
      </c>
      <c r="B598" t="s">
        <v>341</v>
      </c>
      <c r="C598" t="s">
        <v>268</v>
      </c>
      <c r="D598" t="s">
        <v>133</v>
      </c>
      <c r="E598">
        <v>326</v>
      </c>
      <c r="F598" t="s">
        <v>353</v>
      </c>
      <c r="G598" t="s">
        <v>179</v>
      </c>
      <c r="H598" t="s">
        <v>319</v>
      </c>
      <c r="I598" s="1">
        <v>218479</v>
      </c>
      <c r="J598">
        <v>0</v>
      </c>
      <c r="K598" s="7">
        <f>Таблица1[[#This Row],[Штуки]]/SUMIFS(Таблица1[Штуки],Таблица1[Ветка],Таблица1[[#This Row],[Ветка]],Таблица1[Месяц],Таблица1[[#This Row],[Месяц]])</f>
        <v>0</v>
      </c>
      <c r="L598" s="1">
        <v>0</v>
      </c>
      <c r="M598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</v>
      </c>
      <c r="N598" t="s">
        <v>96</v>
      </c>
      <c r="O598">
        <v>3</v>
      </c>
      <c r="P598">
        <v>5</v>
      </c>
      <c r="Q598">
        <v>0</v>
      </c>
      <c r="R598" t="s">
        <v>342</v>
      </c>
      <c r="S598">
        <v>125</v>
      </c>
      <c r="T598">
        <v>90</v>
      </c>
      <c r="U598">
        <v>60</v>
      </c>
      <c r="V598">
        <v>3</v>
      </c>
      <c r="W598">
        <v>-18</v>
      </c>
    </row>
    <row r="599" spans="1:23" x14ac:dyDescent="0.3">
      <c r="A599">
        <v>119662367</v>
      </c>
      <c r="B599" t="s">
        <v>341</v>
      </c>
      <c r="C599" t="s">
        <v>282</v>
      </c>
      <c r="D599" t="s">
        <v>35</v>
      </c>
      <c r="E599">
        <v>150</v>
      </c>
      <c r="F599" t="s">
        <v>351</v>
      </c>
      <c r="G599" t="s">
        <v>179</v>
      </c>
      <c r="H599" t="s">
        <v>319</v>
      </c>
      <c r="I599" s="1">
        <v>140000</v>
      </c>
      <c r="J599">
        <v>0</v>
      </c>
      <c r="K599" s="7">
        <f>Таблица1[[#This Row],[Штуки]]/SUMIFS(Таблица1[Штуки],Таблица1[Ветка],Таблица1[[#This Row],[Ветка]],Таблица1[Месяц],Таблица1[[#This Row],[Месяц]])</f>
        <v>0</v>
      </c>
      <c r="L599" s="1">
        <v>0</v>
      </c>
      <c r="M599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</v>
      </c>
      <c r="N599" t="s">
        <v>96</v>
      </c>
      <c r="O599">
        <v>1</v>
      </c>
      <c r="P599">
        <v>5</v>
      </c>
      <c r="Q599">
        <v>0</v>
      </c>
      <c r="R599" t="s">
        <v>344</v>
      </c>
      <c r="S599">
        <v>75</v>
      </c>
      <c r="T599">
        <v>85</v>
      </c>
      <c r="U599">
        <v>56</v>
      </c>
      <c r="V599">
        <v>3</v>
      </c>
      <c r="W599">
        <v>0</v>
      </c>
    </row>
    <row r="600" spans="1:23" x14ac:dyDescent="0.3">
      <c r="A600">
        <v>136844048</v>
      </c>
      <c r="B600" t="s">
        <v>341</v>
      </c>
      <c r="C600" t="s">
        <v>228</v>
      </c>
      <c r="D600" t="s">
        <v>46</v>
      </c>
      <c r="E600">
        <v>570</v>
      </c>
      <c r="F600" t="s">
        <v>355</v>
      </c>
      <c r="G600" t="s">
        <v>179</v>
      </c>
      <c r="H600" t="s">
        <v>319</v>
      </c>
      <c r="I600" s="1">
        <v>379990</v>
      </c>
      <c r="J600">
        <v>0</v>
      </c>
      <c r="K600" s="7">
        <f>Таблица1[[#This Row],[Штуки]]/SUMIFS(Таблица1[Штуки],Таблица1[Ветка],Таблица1[[#This Row],[Ветка]],Таблица1[Месяц],Таблица1[[#This Row],[Месяц]])</f>
        <v>0</v>
      </c>
      <c r="L600" s="1">
        <v>0</v>
      </c>
      <c r="M600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</v>
      </c>
      <c r="N600" t="s">
        <v>96</v>
      </c>
      <c r="O600">
        <v>3</v>
      </c>
      <c r="P600">
        <v>5</v>
      </c>
      <c r="Q600">
        <v>0</v>
      </c>
      <c r="R600" t="s">
        <v>344</v>
      </c>
      <c r="S600">
        <v>175</v>
      </c>
      <c r="T600">
        <v>81.8</v>
      </c>
      <c r="U600">
        <v>65</v>
      </c>
      <c r="V600">
        <v>6</v>
      </c>
      <c r="W600">
        <v>-24</v>
      </c>
    </row>
    <row r="601" spans="1:23" x14ac:dyDescent="0.3">
      <c r="A601">
        <v>155336923</v>
      </c>
      <c r="B601" t="s">
        <v>341</v>
      </c>
      <c r="C601" t="s">
        <v>271</v>
      </c>
      <c r="D601" t="s">
        <v>115</v>
      </c>
      <c r="E601">
        <v>900</v>
      </c>
      <c r="F601" t="s">
        <v>359</v>
      </c>
      <c r="G601" t="s">
        <v>183</v>
      </c>
      <c r="H601" t="s">
        <v>319</v>
      </c>
      <c r="I601" s="1">
        <v>450000</v>
      </c>
      <c r="J601">
        <v>0</v>
      </c>
      <c r="K601" s="7">
        <f>Таблица1[[#This Row],[Штуки]]/SUMIFS(Таблица1[Штуки],Таблица1[Ветка],Таблица1[[#This Row],[Ветка]],Таблица1[Месяц],Таблица1[[#This Row],[Месяц]])</f>
        <v>0</v>
      </c>
      <c r="L601" s="1">
        <v>0</v>
      </c>
      <c r="M601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</v>
      </c>
      <c r="N601" t="s">
        <v>96</v>
      </c>
      <c r="O601">
        <v>1</v>
      </c>
      <c r="P601">
        <v>0</v>
      </c>
      <c r="Q601">
        <v>0</v>
      </c>
      <c r="R601" t="s">
        <v>342</v>
      </c>
      <c r="S601">
        <v>200</v>
      </c>
      <c r="T601">
        <v>85</v>
      </c>
      <c r="U601">
        <v>88</v>
      </c>
      <c r="V601">
        <v>7</v>
      </c>
      <c r="W601">
        <v>-26</v>
      </c>
    </row>
    <row r="602" spans="1:23" x14ac:dyDescent="0.3">
      <c r="A602">
        <v>113187256</v>
      </c>
      <c r="B602" t="s">
        <v>341</v>
      </c>
      <c r="C602" t="s">
        <v>139</v>
      </c>
      <c r="D602" t="s">
        <v>87</v>
      </c>
      <c r="E602">
        <v>500</v>
      </c>
      <c r="F602" t="s">
        <v>355</v>
      </c>
      <c r="G602" t="s">
        <v>270</v>
      </c>
      <c r="H602" t="s">
        <v>319</v>
      </c>
      <c r="I602" s="1">
        <v>395000</v>
      </c>
      <c r="J602">
        <v>0</v>
      </c>
      <c r="K602" s="7">
        <f>Таблица1[[#This Row],[Штуки]]/SUMIFS(Таблица1[Штуки],Таблица1[Ветка],Таблица1[[#This Row],[Ветка]],Таблица1[Месяц],Таблица1[[#This Row],[Месяц]])</f>
        <v>0</v>
      </c>
      <c r="L602" s="1">
        <v>0</v>
      </c>
      <c r="M602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</v>
      </c>
      <c r="N602" t="s">
        <v>96</v>
      </c>
      <c r="O602">
        <v>1</v>
      </c>
      <c r="P602">
        <v>4.3</v>
      </c>
      <c r="Q602">
        <v>4</v>
      </c>
      <c r="R602" t="s">
        <v>344</v>
      </c>
      <c r="S602">
        <v>140</v>
      </c>
      <c r="T602">
        <v>84</v>
      </c>
      <c r="U602">
        <v>60</v>
      </c>
      <c r="V602">
        <v>5</v>
      </c>
      <c r="W602">
        <v>-22</v>
      </c>
    </row>
    <row r="603" spans="1:23" x14ac:dyDescent="0.3">
      <c r="A603">
        <v>100843154</v>
      </c>
      <c r="B603" t="s">
        <v>343</v>
      </c>
      <c r="C603" t="s">
        <v>269</v>
      </c>
      <c r="D603" t="s">
        <v>87</v>
      </c>
      <c r="E603">
        <v>600</v>
      </c>
      <c r="F603" t="s">
        <v>356</v>
      </c>
      <c r="G603" t="s">
        <v>179</v>
      </c>
      <c r="H603" t="s">
        <v>319</v>
      </c>
      <c r="I603" s="1">
        <v>440000</v>
      </c>
      <c r="J603">
        <v>0</v>
      </c>
      <c r="K603" s="7">
        <f>Таблица1[[#This Row],[Штуки]]/SUMIFS(Таблица1[Штуки],Таблица1[Ветка],Таблица1[[#This Row],[Ветка]],Таблица1[Месяц],Таблица1[[#This Row],[Месяц]])</f>
        <v>0</v>
      </c>
      <c r="L603" s="1">
        <v>0</v>
      </c>
      <c r="M603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</v>
      </c>
      <c r="N603" t="s">
        <v>96</v>
      </c>
      <c r="O603">
        <v>1</v>
      </c>
      <c r="P603">
        <v>4.4000000000000004</v>
      </c>
      <c r="Q603">
        <v>4</v>
      </c>
      <c r="R603" t="s">
        <v>345</v>
      </c>
      <c r="S603">
        <v>160</v>
      </c>
      <c r="T603">
        <v>82</v>
      </c>
      <c r="U603">
        <v>60</v>
      </c>
      <c r="V603">
        <v>0</v>
      </c>
      <c r="W603">
        <v>0</v>
      </c>
    </row>
    <row r="604" spans="1:23" x14ac:dyDescent="0.3">
      <c r="A604">
        <v>155757762</v>
      </c>
      <c r="B604" t="s">
        <v>341</v>
      </c>
      <c r="C604" t="s">
        <v>268</v>
      </c>
      <c r="D604" t="s">
        <v>133</v>
      </c>
      <c r="E604">
        <v>326</v>
      </c>
      <c r="F604" t="s">
        <v>353</v>
      </c>
      <c r="G604" t="s">
        <v>179</v>
      </c>
      <c r="H604" t="s">
        <v>319</v>
      </c>
      <c r="I604" s="1">
        <v>218479</v>
      </c>
      <c r="J604">
        <v>0</v>
      </c>
      <c r="K604" s="7">
        <f>Таблица1[[#This Row],[Штуки]]/SUMIFS(Таблица1[Штуки],Таблица1[Ветка],Таблица1[[#This Row],[Ветка]],Таблица1[Месяц],Таблица1[[#This Row],[Месяц]])</f>
        <v>0</v>
      </c>
      <c r="L604" s="1">
        <v>0</v>
      </c>
      <c r="M604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</v>
      </c>
      <c r="N604" t="s">
        <v>96</v>
      </c>
      <c r="O604">
        <v>3</v>
      </c>
      <c r="P604">
        <v>5</v>
      </c>
      <c r="Q604">
        <v>0</v>
      </c>
      <c r="R604" t="s">
        <v>342</v>
      </c>
      <c r="S604">
        <v>125</v>
      </c>
      <c r="T604">
        <v>90</v>
      </c>
      <c r="U604">
        <v>60</v>
      </c>
      <c r="V604">
        <v>3</v>
      </c>
      <c r="W604">
        <v>-18</v>
      </c>
    </row>
    <row r="605" spans="1:23" x14ac:dyDescent="0.3">
      <c r="A605">
        <v>144491862</v>
      </c>
      <c r="B605" t="s">
        <v>341</v>
      </c>
      <c r="C605" t="s">
        <v>267</v>
      </c>
      <c r="D605" t="s">
        <v>41</v>
      </c>
      <c r="E605">
        <v>700</v>
      </c>
      <c r="F605" t="s">
        <v>357</v>
      </c>
      <c r="G605" t="s">
        <v>180</v>
      </c>
      <c r="H605" t="s">
        <v>319</v>
      </c>
      <c r="I605" s="1">
        <v>408600</v>
      </c>
      <c r="J605">
        <v>0</v>
      </c>
      <c r="K605" s="7">
        <f>Таблица1[[#This Row],[Штуки]]/SUMIFS(Таблица1[Штуки],Таблица1[Ветка],Таблица1[[#This Row],[Ветка]],Таблица1[Месяц],Таблица1[[#This Row],[Месяц]])</f>
        <v>0</v>
      </c>
      <c r="L605" s="1">
        <v>0</v>
      </c>
      <c r="M605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</v>
      </c>
      <c r="N605" t="s">
        <v>96</v>
      </c>
      <c r="O605">
        <v>1</v>
      </c>
      <c r="P605">
        <v>0</v>
      </c>
      <c r="Q605">
        <v>0</v>
      </c>
      <c r="R605" t="s">
        <v>344</v>
      </c>
      <c r="S605">
        <v>74</v>
      </c>
      <c r="T605">
        <v>87</v>
      </c>
      <c r="U605">
        <v>45</v>
      </c>
      <c r="V605">
        <v>0</v>
      </c>
      <c r="W605">
        <v>-18</v>
      </c>
    </row>
    <row r="606" spans="1:23" x14ac:dyDescent="0.3">
      <c r="A606">
        <v>2800259</v>
      </c>
      <c r="B606" t="s">
        <v>341</v>
      </c>
      <c r="C606" t="s">
        <v>222</v>
      </c>
      <c r="D606" t="s">
        <v>223</v>
      </c>
      <c r="E606">
        <v>551</v>
      </c>
      <c r="F606" t="s">
        <v>355</v>
      </c>
      <c r="G606" t="s">
        <v>179</v>
      </c>
      <c r="H606" t="s">
        <v>319</v>
      </c>
      <c r="I606" s="1">
        <v>458000</v>
      </c>
      <c r="J606">
        <v>0</v>
      </c>
      <c r="K606" s="7">
        <f>Таблица1[[#This Row],[Штуки]]/SUMIFS(Таблица1[Штуки],Таблица1[Ветка],Таблица1[[#This Row],[Ветка]],Таблица1[Месяц],Таблица1[[#This Row],[Месяц]])</f>
        <v>0</v>
      </c>
      <c r="L606" s="1">
        <v>0</v>
      </c>
      <c r="M606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</v>
      </c>
      <c r="N606" t="s">
        <v>96</v>
      </c>
      <c r="O606">
        <v>1</v>
      </c>
      <c r="P606">
        <v>4.4000000000000004</v>
      </c>
      <c r="Q606">
        <v>8</v>
      </c>
      <c r="R606" t="s">
        <v>344</v>
      </c>
      <c r="S606">
        <v>160</v>
      </c>
      <c r="T606">
        <v>80</v>
      </c>
      <c r="U606">
        <v>60</v>
      </c>
      <c r="V606">
        <v>6</v>
      </c>
      <c r="W606">
        <v>0</v>
      </c>
    </row>
    <row r="607" spans="1:23" x14ac:dyDescent="0.3">
      <c r="A607">
        <v>156863274</v>
      </c>
      <c r="B607" t="s">
        <v>343</v>
      </c>
      <c r="C607" t="s">
        <v>266</v>
      </c>
      <c r="D607" t="s">
        <v>91</v>
      </c>
      <c r="E607">
        <v>500</v>
      </c>
      <c r="F607" t="s">
        <v>355</v>
      </c>
      <c r="G607" t="s">
        <v>179</v>
      </c>
      <c r="H607" t="s">
        <v>319</v>
      </c>
      <c r="I607" s="1">
        <v>231990</v>
      </c>
      <c r="J607">
        <v>0</v>
      </c>
      <c r="K607" s="7">
        <f>Таблица1[[#This Row],[Штуки]]/SUMIFS(Таблица1[Штуки],Таблица1[Ветка],Таблица1[[#This Row],[Ветка]],Таблица1[Месяц],Таблица1[[#This Row],[Месяц]])</f>
        <v>0</v>
      </c>
      <c r="L607" s="1">
        <v>0</v>
      </c>
      <c r="M607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</v>
      </c>
      <c r="N607" t="s">
        <v>96</v>
      </c>
      <c r="O607">
        <v>3</v>
      </c>
      <c r="P607">
        <v>0</v>
      </c>
      <c r="Q607">
        <v>0</v>
      </c>
      <c r="R607" t="s">
        <v>342</v>
      </c>
      <c r="S607">
        <v>140</v>
      </c>
      <c r="T607">
        <v>71</v>
      </c>
      <c r="U607">
        <v>89</v>
      </c>
      <c r="V607">
        <v>0</v>
      </c>
      <c r="W607">
        <v>-18</v>
      </c>
    </row>
    <row r="608" spans="1:23" x14ac:dyDescent="0.3">
      <c r="A608">
        <v>148807903</v>
      </c>
      <c r="B608" t="s">
        <v>343</v>
      </c>
      <c r="C608" t="s">
        <v>340</v>
      </c>
      <c r="D608" t="s">
        <v>74</v>
      </c>
      <c r="E608">
        <v>500</v>
      </c>
      <c r="F608" t="s">
        <v>355</v>
      </c>
      <c r="G608" t="s">
        <v>179</v>
      </c>
      <c r="H608" t="s">
        <v>319</v>
      </c>
      <c r="I608" s="1">
        <v>199990</v>
      </c>
      <c r="J608">
        <v>0</v>
      </c>
      <c r="K608" s="7">
        <f>Таблица1[[#This Row],[Штуки]]/SUMIFS(Таблица1[Штуки],Таблица1[Ветка],Таблица1[[#This Row],[Ветка]],Таблица1[Месяц],Таблица1[[#This Row],[Месяц]])</f>
        <v>0</v>
      </c>
      <c r="L608" s="1">
        <v>0</v>
      </c>
      <c r="M608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</v>
      </c>
      <c r="N608" t="s">
        <v>96</v>
      </c>
      <c r="O608">
        <v>2</v>
      </c>
      <c r="P608">
        <v>5</v>
      </c>
      <c r="Q608">
        <v>1</v>
      </c>
      <c r="R608" t="s">
        <v>342</v>
      </c>
      <c r="S608">
        <v>145.19999999999999</v>
      </c>
      <c r="T608">
        <v>88.5</v>
      </c>
      <c r="U608">
        <v>76</v>
      </c>
      <c r="V608">
        <v>0</v>
      </c>
      <c r="W608">
        <v>-17</v>
      </c>
    </row>
    <row r="609" spans="1:23" x14ac:dyDescent="0.3">
      <c r="A609">
        <v>104045575</v>
      </c>
      <c r="B609" t="s">
        <v>341</v>
      </c>
      <c r="C609" t="s">
        <v>201</v>
      </c>
      <c r="D609" t="s">
        <v>87</v>
      </c>
      <c r="E609">
        <v>999</v>
      </c>
      <c r="F609" t="s">
        <v>359</v>
      </c>
      <c r="G609" t="s">
        <v>179</v>
      </c>
      <c r="H609" t="s">
        <v>319</v>
      </c>
      <c r="I609" s="1">
        <v>950000</v>
      </c>
      <c r="J609">
        <v>0</v>
      </c>
      <c r="K609" s="7">
        <f>Таблица1[[#This Row],[Штуки]]/SUMIFS(Таблица1[Штуки],Таблица1[Ветка],Таблица1[[#This Row],[Ветка]],Таблица1[Месяц],Таблица1[[#This Row],[Месяц]])</f>
        <v>0</v>
      </c>
      <c r="L609" s="1">
        <v>0</v>
      </c>
      <c r="M609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</v>
      </c>
      <c r="N609" t="s">
        <v>57</v>
      </c>
      <c r="O609">
        <v>1</v>
      </c>
      <c r="P609">
        <v>4.7</v>
      </c>
      <c r="Q609">
        <v>7</v>
      </c>
      <c r="R609" t="s">
        <v>344</v>
      </c>
      <c r="S609">
        <v>250</v>
      </c>
      <c r="T609">
        <v>75</v>
      </c>
      <c r="U609">
        <v>87</v>
      </c>
      <c r="V609">
        <v>12</v>
      </c>
      <c r="W609">
        <v>-25</v>
      </c>
    </row>
    <row r="610" spans="1:23" x14ac:dyDescent="0.3">
      <c r="A610">
        <v>116443890</v>
      </c>
      <c r="B610" t="s">
        <v>346</v>
      </c>
      <c r="C610" t="s">
        <v>198</v>
      </c>
      <c r="D610" t="s">
        <v>77</v>
      </c>
      <c r="E610">
        <v>1200</v>
      </c>
      <c r="F610" t="s">
        <v>362</v>
      </c>
      <c r="G610" t="s">
        <v>179</v>
      </c>
      <c r="H610" t="s">
        <v>319</v>
      </c>
      <c r="I610" s="1">
        <v>955500</v>
      </c>
      <c r="J610">
        <v>0</v>
      </c>
      <c r="K610" s="7">
        <f>Таблица1[[#This Row],[Штуки]]/SUMIFS(Таблица1[Штуки],Таблица1[Ветка],Таблица1[[#This Row],[Ветка]],Таблица1[Месяц],Таблица1[[#This Row],[Месяц]])</f>
        <v>0</v>
      </c>
      <c r="L610" s="1">
        <v>0</v>
      </c>
      <c r="M610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</v>
      </c>
      <c r="N610" t="s">
        <v>57</v>
      </c>
      <c r="O610">
        <v>1</v>
      </c>
      <c r="P610">
        <v>0</v>
      </c>
      <c r="Q610">
        <v>0</v>
      </c>
      <c r="R610" t="s">
        <v>342</v>
      </c>
      <c r="S610">
        <v>140</v>
      </c>
      <c r="T610">
        <v>215</v>
      </c>
      <c r="U610">
        <v>70</v>
      </c>
      <c r="V610">
        <v>0</v>
      </c>
      <c r="W610">
        <v>-18</v>
      </c>
    </row>
    <row r="611" spans="1:23" x14ac:dyDescent="0.3">
      <c r="A611">
        <v>121623694</v>
      </c>
      <c r="B611" t="s">
        <v>341</v>
      </c>
      <c r="C611" t="s">
        <v>245</v>
      </c>
      <c r="D611" t="s">
        <v>81</v>
      </c>
      <c r="E611">
        <v>1300</v>
      </c>
      <c r="F611" t="s">
        <v>363</v>
      </c>
      <c r="G611" t="s">
        <v>188</v>
      </c>
      <c r="H611" t="s">
        <v>319</v>
      </c>
      <c r="I611" s="1">
        <v>809545</v>
      </c>
      <c r="J611">
        <v>0</v>
      </c>
      <c r="K611" s="7">
        <f>Таблица1[[#This Row],[Штуки]]/SUMIFS(Таблица1[Штуки],Таблица1[Ветка],Таблица1[[#This Row],[Ветка]],Таблица1[Месяц],Таблица1[[#This Row],[Месяц]])</f>
        <v>0</v>
      </c>
      <c r="L611" s="1">
        <v>0</v>
      </c>
      <c r="M611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</v>
      </c>
      <c r="N611" t="s">
        <v>57</v>
      </c>
      <c r="O611">
        <v>2</v>
      </c>
      <c r="P611">
        <v>0</v>
      </c>
      <c r="Q611">
        <v>0</v>
      </c>
      <c r="R611" t="s">
        <v>344</v>
      </c>
      <c r="S611">
        <v>250</v>
      </c>
      <c r="T611">
        <v>85</v>
      </c>
      <c r="U611">
        <v>96</v>
      </c>
      <c r="V611">
        <v>0</v>
      </c>
      <c r="W611">
        <v>-25</v>
      </c>
    </row>
    <row r="612" spans="1:23" x14ac:dyDescent="0.3">
      <c r="A612">
        <v>122619339</v>
      </c>
      <c r="B612" t="s">
        <v>341</v>
      </c>
      <c r="C612" t="s">
        <v>80</v>
      </c>
      <c r="D612" t="s">
        <v>81</v>
      </c>
      <c r="E612">
        <v>1300</v>
      </c>
      <c r="F612" t="s">
        <v>363</v>
      </c>
      <c r="G612" t="s">
        <v>82</v>
      </c>
      <c r="H612" t="s">
        <v>319</v>
      </c>
      <c r="I612" s="1">
        <v>995000</v>
      </c>
      <c r="J612">
        <v>0</v>
      </c>
      <c r="K612" s="7">
        <f>Таблица1[[#This Row],[Штуки]]/SUMIFS(Таблица1[Штуки],Таблица1[Ветка],Таблица1[[#This Row],[Ветка]],Таблица1[Месяц],Таблица1[[#This Row],[Месяц]])</f>
        <v>0</v>
      </c>
      <c r="L612" s="1">
        <v>0</v>
      </c>
      <c r="M612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</v>
      </c>
      <c r="N612" t="s">
        <v>57</v>
      </c>
      <c r="O612">
        <v>1</v>
      </c>
      <c r="P612">
        <v>5</v>
      </c>
      <c r="Q612">
        <v>1</v>
      </c>
      <c r="R612" t="s">
        <v>342</v>
      </c>
      <c r="S612">
        <v>275</v>
      </c>
      <c r="T612">
        <v>102</v>
      </c>
      <c r="U612">
        <v>104</v>
      </c>
      <c r="V612">
        <v>6</v>
      </c>
      <c r="W612">
        <v>-25</v>
      </c>
    </row>
    <row r="613" spans="1:23" x14ac:dyDescent="0.3">
      <c r="A613">
        <v>114109997</v>
      </c>
      <c r="B613" t="s">
        <v>343</v>
      </c>
      <c r="C613" t="s">
        <v>118</v>
      </c>
      <c r="D613" t="s">
        <v>87</v>
      </c>
      <c r="E613">
        <v>800</v>
      </c>
      <c r="F613" t="s">
        <v>358</v>
      </c>
      <c r="G613" t="s">
        <v>188</v>
      </c>
      <c r="H613" t="s">
        <v>319</v>
      </c>
      <c r="I613" s="1">
        <v>550000</v>
      </c>
      <c r="J613">
        <v>0</v>
      </c>
      <c r="K613" s="7">
        <f>Таблица1[[#This Row],[Штуки]]/SUMIFS(Таблица1[Штуки],Таблица1[Ветка],Таблица1[[#This Row],[Ветка]],Таблица1[Месяц],Таблица1[[#This Row],[Месяц]])</f>
        <v>0</v>
      </c>
      <c r="L613" s="1">
        <v>0</v>
      </c>
      <c r="M613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</v>
      </c>
      <c r="N613" t="s">
        <v>57</v>
      </c>
      <c r="O613">
        <v>1</v>
      </c>
      <c r="P613">
        <v>4.43</v>
      </c>
      <c r="Q613">
        <v>4</v>
      </c>
      <c r="R613" t="s">
        <v>344</v>
      </c>
      <c r="S613">
        <v>200</v>
      </c>
      <c r="T613">
        <v>84</v>
      </c>
      <c r="U613">
        <v>60</v>
      </c>
      <c r="V613">
        <v>8</v>
      </c>
      <c r="W613">
        <v>-22</v>
      </c>
    </row>
    <row r="614" spans="1:23" x14ac:dyDescent="0.3">
      <c r="A614">
        <v>153722102</v>
      </c>
      <c r="B614" t="s">
        <v>343</v>
      </c>
      <c r="C614" t="s">
        <v>243</v>
      </c>
      <c r="D614" t="s">
        <v>104</v>
      </c>
      <c r="E614">
        <v>700</v>
      </c>
      <c r="F614" t="s">
        <v>357</v>
      </c>
      <c r="G614" t="s">
        <v>180</v>
      </c>
      <c r="H614" t="s">
        <v>319</v>
      </c>
      <c r="I614" s="1">
        <v>296908</v>
      </c>
      <c r="J614">
        <v>0</v>
      </c>
      <c r="K614" s="7">
        <f>Таблица1[[#This Row],[Штуки]]/SUMIFS(Таблица1[Штуки],Таблица1[Ветка],Таблица1[[#This Row],[Ветка]],Таблица1[Месяц],Таблица1[[#This Row],[Месяц]])</f>
        <v>0</v>
      </c>
      <c r="L614" s="1">
        <v>0</v>
      </c>
      <c r="M614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</v>
      </c>
      <c r="N614" t="s">
        <v>57</v>
      </c>
      <c r="O614">
        <v>6</v>
      </c>
      <c r="P614">
        <v>5</v>
      </c>
      <c r="Q614">
        <v>1</v>
      </c>
      <c r="R614" t="s">
        <v>342</v>
      </c>
      <c r="S614">
        <v>193</v>
      </c>
      <c r="T614">
        <v>82.5</v>
      </c>
      <c r="U614">
        <v>71</v>
      </c>
      <c r="V614">
        <v>0</v>
      </c>
      <c r="W614">
        <v>0</v>
      </c>
    </row>
    <row r="615" spans="1:23" x14ac:dyDescent="0.3">
      <c r="A615">
        <v>121205888</v>
      </c>
      <c r="B615" t="s">
        <v>346</v>
      </c>
      <c r="C615" t="s">
        <v>129</v>
      </c>
      <c r="D615" t="s">
        <v>130</v>
      </c>
      <c r="E615">
        <v>800</v>
      </c>
      <c r="F615" t="s">
        <v>358</v>
      </c>
      <c r="G615" t="s">
        <v>185</v>
      </c>
      <c r="H615" t="s">
        <v>319</v>
      </c>
      <c r="I615" s="1">
        <v>391900</v>
      </c>
      <c r="J615">
        <v>0</v>
      </c>
      <c r="K615" s="7">
        <f>Таблица1[[#This Row],[Штуки]]/SUMIFS(Таблица1[Штуки],Таблица1[Ветка],Таблица1[[#This Row],[Ветка]],Таблица1[Месяц],Таблица1[[#This Row],[Месяц]])</f>
        <v>0</v>
      </c>
      <c r="L615" s="1">
        <v>0</v>
      </c>
      <c r="M615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</v>
      </c>
      <c r="N615" t="s">
        <v>57</v>
      </c>
      <c r="O615">
        <v>2</v>
      </c>
      <c r="P615">
        <v>5</v>
      </c>
      <c r="Q615">
        <v>2</v>
      </c>
      <c r="R615" t="s">
        <v>342</v>
      </c>
      <c r="S615">
        <v>60</v>
      </c>
      <c r="T615">
        <v>196</v>
      </c>
      <c r="U615">
        <v>76</v>
      </c>
      <c r="V615">
        <v>0</v>
      </c>
      <c r="W615">
        <v>-14</v>
      </c>
    </row>
    <row r="616" spans="1:23" x14ac:dyDescent="0.3">
      <c r="A616">
        <v>131172629</v>
      </c>
      <c r="B616" t="s">
        <v>341</v>
      </c>
      <c r="C616" t="s">
        <v>241</v>
      </c>
      <c r="D616" t="s">
        <v>133</v>
      </c>
      <c r="E616">
        <v>1000</v>
      </c>
      <c r="F616" t="s">
        <v>360</v>
      </c>
      <c r="G616" t="s">
        <v>242</v>
      </c>
      <c r="H616" t="s">
        <v>319</v>
      </c>
      <c r="I616" s="1">
        <v>649980</v>
      </c>
      <c r="J616">
        <v>0</v>
      </c>
      <c r="K616" s="7">
        <f>Таблица1[[#This Row],[Штуки]]/SUMIFS(Таблица1[Штуки],Таблица1[Ветка],Таблица1[[#This Row],[Ветка]],Таблица1[Месяц],Таблица1[[#This Row],[Месяц]])</f>
        <v>0</v>
      </c>
      <c r="L616" s="1">
        <v>0</v>
      </c>
      <c r="M616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</v>
      </c>
      <c r="N616" t="s">
        <v>57</v>
      </c>
      <c r="O616">
        <v>1</v>
      </c>
      <c r="P616">
        <v>5</v>
      </c>
      <c r="Q616">
        <v>1</v>
      </c>
      <c r="R616" t="s">
        <v>342</v>
      </c>
      <c r="S616">
        <v>250</v>
      </c>
      <c r="T616">
        <v>85</v>
      </c>
      <c r="U616">
        <v>85</v>
      </c>
      <c r="V616">
        <v>8</v>
      </c>
      <c r="W616">
        <v>-18</v>
      </c>
    </row>
    <row r="617" spans="1:23" x14ac:dyDescent="0.3">
      <c r="A617">
        <v>156863482</v>
      </c>
      <c r="B617" t="s">
        <v>343</v>
      </c>
      <c r="C617" t="s">
        <v>240</v>
      </c>
      <c r="D617" t="s">
        <v>91</v>
      </c>
      <c r="E617">
        <v>1100</v>
      </c>
      <c r="F617" t="s">
        <v>361</v>
      </c>
      <c r="G617" t="s">
        <v>180</v>
      </c>
      <c r="H617" t="s">
        <v>319</v>
      </c>
      <c r="I617" s="1">
        <v>479980</v>
      </c>
      <c r="J617">
        <v>0</v>
      </c>
      <c r="K617" s="7">
        <f>Таблица1[[#This Row],[Штуки]]/SUMIFS(Таблица1[Штуки],Таблица1[Ветка],Таблица1[[#This Row],[Ветка]],Таблица1[Месяц],Таблица1[[#This Row],[Месяц]])</f>
        <v>0</v>
      </c>
      <c r="L617" s="1">
        <v>0</v>
      </c>
      <c r="M617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</v>
      </c>
      <c r="N617" t="s">
        <v>57</v>
      </c>
      <c r="O617">
        <v>3</v>
      </c>
      <c r="P617">
        <v>5</v>
      </c>
      <c r="Q617">
        <v>0</v>
      </c>
      <c r="R617" t="s">
        <v>342</v>
      </c>
      <c r="S617">
        <v>236</v>
      </c>
      <c r="T617">
        <v>85</v>
      </c>
      <c r="U617">
        <v>90</v>
      </c>
      <c r="V617">
        <v>0</v>
      </c>
      <c r="W617">
        <v>-20</v>
      </c>
    </row>
    <row r="618" spans="1:23" x14ac:dyDescent="0.3">
      <c r="A618">
        <v>140652811</v>
      </c>
      <c r="B618" t="s">
        <v>343</v>
      </c>
      <c r="C618" t="s">
        <v>51</v>
      </c>
      <c r="D618" t="s">
        <v>52</v>
      </c>
      <c r="E618">
        <v>800</v>
      </c>
      <c r="F618" t="s">
        <v>358</v>
      </c>
      <c r="G618" t="s">
        <v>179</v>
      </c>
      <c r="H618" t="s">
        <v>319</v>
      </c>
      <c r="I618" s="1">
        <v>333000</v>
      </c>
      <c r="J618">
        <v>0</v>
      </c>
      <c r="K618" s="7">
        <f>Таблица1[[#This Row],[Штуки]]/SUMIFS(Таблица1[Штуки],Таблица1[Ветка],Таблица1[[#This Row],[Ветка]],Таблица1[Месяц],Таблица1[[#This Row],[Месяц]])</f>
        <v>0</v>
      </c>
      <c r="L618" s="1">
        <v>0</v>
      </c>
      <c r="M618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</v>
      </c>
      <c r="N618" t="s">
        <v>57</v>
      </c>
      <c r="O618">
        <v>1</v>
      </c>
      <c r="P618">
        <v>5</v>
      </c>
      <c r="Q618">
        <v>7</v>
      </c>
      <c r="R618" t="s">
        <v>344</v>
      </c>
      <c r="S618">
        <v>194.5</v>
      </c>
      <c r="T618">
        <v>88</v>
      </c>
      <c r="U618">
        <v>80</v>
      </c>
      <c r="V618">
        <v>2</v>
      </c>
      <c r="W618">
        <v>-18</v>
      </c>
    </row>
    <row r="619" spans="1:23" x14ac:dyDescent="0.3">
      <c r="A619">
        <v>114860975</v>
      </c>
      <c r="B619" t="s">
        <v>341</v>
      </c>
      <c r="C619" t="s">
        <v>152</v>
      </c>
      <c r="D619" t="s">
        <v>46</v>
      </c>
      <c r="E619">
        <v>513</v>
      </c>
      <c r="F619" t="s">
        <v>355</v>
      </c>
      <c r="G619" t="s">
        <v>179</v>
      </c>
      <c r="H619" t="s">
        <v>319</v>
      </c>
      <c r="I619" s="1">
        <v>409185</v>
      </c>
      <c r="J619">
        <v>0</v>
      </c>
      <c r="K619" s="7">
        <f>Таблица1[[#This Row],[Штуки]]/SUMIFS(Таблица1[Штуки],Таблица1[Ветка],Таблица1[[#This Row],[Ветка]],Таблица1[Месяц],Таблица1[[#This Row],[Месяц]])</f>
        <v>0</v>
      </c>
      <c r="L619" s="1">
        <v>0</v>
      </c>
      <c r="M619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</v>
      </c>
      <c r="N619" t="s">
        <v>57</v>
      </c>
      <c r="O619">
        <v>2</v>
      </c>
      <c r="P619">
        <v>5</v>
      </c>
      <c r="Q619">
        <v>2</v>
      </c>
      <c r="R619" t="s">
        <v>344</v>
      </c>
      <c r="S619">
        <v>155</v>
      </c>
      <c r="T619">
        <v>84.5</v>
      </c>
      <c r="U619">
        <v>65</v>
      </c>
      <c r="V619">
        <v>4</v>
      </c>
      <c r="W619">
        <v>-24</v>
      </c>
    </row>
    <row r="620" spans="1:23" x14ac:dyDescent="0.3">
      <c r="A620">
        <v>136188264</v>
      </c>
      <c r="B620" t="s">
        <v>341</v>
      </c>
      <c r="C620" t="s">
        <v>68</v>
      </c>
      <c r="D620" t="s">
        <v>30</v>
      </c>
      <c r="E620">
        <v>400</v>
      </c>
      <c r="F620" t="s">
        <v>354</v>
      </c>
      <c r="G620" t="s">
        <v>69</v>
      </c>
      <c r="H620" t="s">
        <v>319</v>
      </c>
      <c r="I620" s="1">
        <v>255000</v>
      </c>
      <c r="J620">
        <v>0</v>
      </c>
      <c r="K620" s="7">
        <f>Таблица1[[#This Row],[Штуки]]/SUMIFS(Таблица1[Штуки],Таблица1[Ветка],Таблица1[[#This Row],[Ветка]],Таблица1[Месяц],Таблица1[[#This Row],[Месяц]])</f>
        <v>0</v>
      </c>
      <c r="L620" s="1">
        <v>0</v>
      </c>
      <c r="M620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</v>
      </c>
      <c r="N620" t="s">
        <v>57</v>
      </c>
      <c r="O620">
        <v>2</v>
      </c>
      <c r="P620">
        <v>4.5999999999999996</v>
      </c>
      <c r="Q620">
        <v>19</v>
      </c>
      <c r="R620" t="s">
        <v>344</v>
      </c>
      <c r="S620">
        <v>144</v>
      </c>
      <c r="T620">
        <v>84.1</v>
      </c>
      <c r="U620">
        <v>66</v>
      </c>
      <c r="V620">
        <v>4</v>
      </c>
      <c r="W620">
        <v>-18</v>
      </c>
    </row>
    <row r="621" spans="1:23" x14ac:dyDescent="0.3">
      <c r="A621">
        <v>132777674</v>
      </c>
      <c r="B621" t="s">
        <v>341</v>
      </c>
      <c r="C621" t="s">
        <v>122</v>
      </c>
      <c r="D621" t="s">
        <v>30</v>
      </c>
      <c r="E621">
        <v>647</v>
      </c>
      <c r="F621" t="s">
        <v>356</v>
      </c>
      <c r="G621" t="s">
        <v>188</v>
      </c>
      <c r="H621" t="s">
        <v>319</v>
      </c>
      <c r="I621" s="1">
        <v>429990</v>
      </c>
      <c r="J621">
        <v>0</v>
      </c>
      <c r="K621" s="7">
        <f>Таблица1[[#This Row],[Штуки]]/SUMIFS(Таблица1[Штуки],Таблица1[Ветка],Таблица1[[#This Row],[Ветка]],Таблица1[Месяц],Таблица1[[#This Row],[Месяц]])</f>
        <v>0</v>
      </c>
      <c r="L621" s="1">
        <v>0</v>
      </c>
      <c r="M621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</v>
      </c>
      <c r="N621" t="s">
        <v>57</v>
      </c>
      <c r="O621">
        <v>1</v>
      </c>
      <c r="P621">
        <v>5</v>
      </c>
      <c r="Q621">
        <v>2</v>
      </c>
      <c r="R621" t="s">
        <v>342</v>
      </c>
      <c r="S621">
        <v>182</v>
      </c>
      <c r="T621">
        <v>82.2</v>
      </c>
      <c r="U621">
        <v>82.2</v>
      </c>
      <c r="V621">
        <v>6</v>
      </c>
      <c r="W621">
        <v>-25</v>
      </c>
    </row>
    <row r="622" spans="1:23" x14ac:dyDescent="0.3">
      <c r="A622">
        <v>129159431</v>
      </c>
      <c r="B622" t="s">
        <v>343</v>
      </c>
      <c r="C622" t="s">
        <v>213</v>
      </c>
      <c r="D622" t="s">
        <v>41</v>
      </c>
      <c r="E622">
        <v>1380</v>
      </c>
      <c r="F622" t="s">
        <v>363</v>
      </c>
      <c r="G622" t="s">
        <v>179</v>
      </c>
      <c r="H622" t="s">
        <v>319</v>
      </c>
      <c r="I622" s="1">
        <v>658000</v>
      </c>
      <c r="J622">
        <v>0</v>
      </c>
      <c r="K622" s="7">
        <f>Таблица1[[#This Row],[Штуки]]/SUMIFS(Таблица1[Штуки],Таблица1[Ветка],Таблица1[[#This Row],[Ветка]],Таблица1[Месяц],Таблица1[[#This Row],[Месяц]])</f>
        <v>0</v>
      </c>
      <c r="L622" s="1">
        <v>0</v>
      </c>
      <c r="M622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</v>
      </c>
      <c r="N622" t="s">
        <v>23</v>
      </c>
      <c r="O622">
        <v>2</v>
      </c>
      <c r="P622">
        <v>5</v>
      </c>
      <c r="Q622">
        <v>1</v>
      </c>
      <c r="R622" t="s">
        <v>342</v>
      </c>
      <c r="S622">
        <v>260</v>
      </c>
      <c r="T622">
        <v>88</v>
      </c>
      <c r="U622">
        <v>102</v>
      </c>
      <c r="V622">
        <v>0</v>
      </c>
      <c r="W622">
        <v>-18</v>
      </c>
    </row>
    <row r="623" spans="1:23" x14ac:dyDescent="0.3">
      <c r="A623">
        <v>110653507</v>
      </c>
      <c r="B623" t="s">
        <v>341</v>
      </c>
      <c r="C623" t="s">
        <v>237</v>
      </c>
      <c r="D623" t="s">
        <v>81</v>
      </c>
      <c r="E623">
        <v>1100</v>
      </c>
      <c r="F623" t="s">
        <v>361</v>
      </c>
      <c r="G623" t="s">
        <v>199</v>
      </c>
      <c r="H623" t="s">
        <v>319</v>
      </c>
      <c r="I623" s="1">
        <v>1600000</v>
      </c>
      <c r="J623">
        <v>0</v>
      </c>
      <c r="K623" s="7">
        <f>Таблица1[[#This Row],[Штуки]]/SUMIFS(Таблица1[Штуки],Таблица1[Ветка],Таблица1[[#This Row],[Ветка]],Таблица1[Месяц],Таблица1[[#This Row],[Месяц]])</f>
        <v>0</v>
      </c>
      <c r="L623" s="1">
        <v>0</v>
      </c>
      <c r="M623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</v>
      </c>
      <c r="N623" t="s">
        <v>23</v>
      </c>
      <c r="O623">
        <v>1</v>
      </c>
      <c r="P623">
        <v>5</v>
      </c>
      <c r="Q623">
        <v>3</v>
      </c>
      <c r="R623" t="s">
        <v>344</v>
      </c>
      <c r="S623">
        <v>210</v>
      </c>
      <c r="T623">
        <v>85</v>
      </c>
      <c r="U623">
        <v>96</v>
      </c>
      <c r="V623">
        <v>6</v>
      </c>
      <c r="W623">
        <v>-25</v>
      </c>
    </row>
    <row r="624" spans="1:23" x14ac:dyDescent="0.3">
      <c r="A624">
        <v>141408862</v>
      </c>
      <c r="B624" t="s">
        <v>341</v>
      </c>
      <c r="C624" t="s">
        <v>59</v>
      </c>
      <c r="D624" t="s">
        <v>52</v>
      </c>
      <c r="E624">
        <v>600</v>
      </c>
      <c r="F624" t="s">
        <v>356</v>
      </c>
      <c r="G624" t="s">
        <v>177</v>
      </c>
      <c r="H624" t="s">
        <v>319</v>
      </c>
      <c r="I624" s="1">
        <v>371000</v>
      </c>
      <c r="J624">
        <v>0</v>
      </c>
      <c r="K624" s="7">
        <f>Таблица1[[#This Row],[Штуки]]/SUMIFS(Таблица1[Штуки],Таблица1[Ветка],Таблица1[[#This Row],[Ветка]],Таблица1[Месяц],Таблица1[[#This Row],[Месяц]])</f>
        <v>0</v>
      </c>
      <c r="L624" s="1">
        <v>0</v>
      </c>
      <c r="M624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</v>
      </c>
      <c r="N624" t="s">
        <v>23</v>
      </c>
      <c r="O624">
        <v>5</v>
      </c>
      <c r="P624">
        <v>5</v>
      </c>
      <c r="Q624">
        <v>5</v>
      </c>
      <c r="R624" t="s">
        <v>344</v>
      </c>
      <c r="S624">
        <v>165</v>
      </c>
      <c r="T624">
        <v>86</v>
      </c>
      <c r="U624">
        <v>76</v>
      </c>
      <c r="V624">
        <v>5</v>
      </c>
      <c r="W624">
        <v>-18</v>
      </c>
    </row>
    <row r="625" spans="1:23" x14ac:dyDescent="0.3">
      <c r="A625">
        <v>142749485</v>
      </c>
      <c r="B625" t="s">
        <v>343</v>
      </c>
      <c r="C625" t="s">
        <v>252</v>
      </c>
      <c r="D625" t="s">
        <v>253</v>
      </c>
      <c r="E625">
        <v>1600</v>
      </c>
      <c r="F625" t="s">
        <v>365</v>
      </c>
      <c r="G625" t="s">
        <v>179</v>
      </c>
      <c r="H625" t="s">
        <v>319</v>
      </c>
      <c r="I625" s="1">
        <v>690000</v>
      </c>
      <c r="J625">
        <v>0</v>
      </c>
      <c r="K625" s="7">
        <f>Таблица1[[#This Row],[Штуки]]/SUMIFS(Таблица1[Штуки],Таблица1[Ветка],Таблица1[[#This Row],[Ветка]],Таблица1[Месяц],Таблица1[[#This Row],[Месяц]])</f>
        <v>0</v>
      </c>
      <c r="L625" s="1">
        <v>0</v>
      </c>
      <c r="M625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</v>
      </c>
      <c r="N625" t="s">
        <v>23</v>
      </c>
      <c r="O625">
        <v>1</v>
      </c>
      <c r="P625">
        <v>5</v>
      </c>
      <c r="Q625">
        <v>1</v>
      </c>
      <c r="R625" t="s">
        <v>342</v>
      </c>
      <c r="S625">
        <v>307</v>
      </c>
      <c r="T625">
        <v>88</v>
      </c>
      <c r="U625">
        <v>101</v>
      </c>
      <c r="V625">
        <v>2</v>
      </c>
      <c r="W625">
        <v>-18</v>
      </c>
    </row>
    <row r="626" spans="1:23" x14ac:dyDescent="0.3">
      <c r="A626">
        <v>119264288</v>
      </c>
      <c r="B626" t="s">
        <v>341</v>
      </c>
      <c r="C626" t="s">
        <v>65</v>
      </c>
      <c r="D626" t="s">
        <v>35</v>
      </c>
      <c r="E626">
        <v>155</v>
      </c>
      <c r="F626" t="s">
        <v>351</v>
      </c>
      <c r="G626" t="s">
        <v>179</v>
      </c>
      <c r="H626" t="s">
        <v>319</v>
      </c>
      <c r="I626" s="1">
        <v>116500</v>
      </c>
      <c r="J626">
        <v>0</v>
      </c>
      <c r="K626" s="7">
        <f>Таблица1[[#This Row],[Штуки]]/SUMIFS(Таблица1[Штуки],Таблица1[Ветка],Таблица1[[#This Row],[Ветка]],Таблица1[Месяц],Таблица1[[#This Row],[Месяц]])</f>
        <v>0</v>
      </c>
      <c r="L626" s="1">
        <v>0</v>
      </c>
      <c r="M626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</v>
      </c>
      <c r="N626" t="s">
        <v>23</v>
      </c>
      <c r="O626">
        <v>1</v>
      </c>
      <c r="P626">
        <v>5</v>
      </c>
      <c r="Q626">
        <v>16</v>
      </c>
      <c r="R626" t="s">
        <v>342</v>
      </c>
      <c r="S626">
        <v>50</v>
      </c>
      <c r="T626">
        <v>80</v>
      </c>
      <c r="U626">
        <v>80</v>
      </c>
      <c r="V626">
        <v>3</v>
      </c>
      <c r="W626">
        <v>0</v>
      </c>
    </row>
    <row r="627" spans="1:23" x14ac:dyDescent="0.3">
      <c r="A627">
        <v>143838104</v>
      </c>
      <c r="B627" t="s">
        <v>341</v>
      </c>
      <c r="C627" t="s">
        <v>39</v>
      </c>
      <c r="D627" t="s">
        <v>35</v>
      </c>
      <c r="E627">
        <v>205</v>
      </c>
      <c r="F627" t="s">
        <v>352</v>
      </c>
      <c r="G627" t="s">
        <v>26</v>
      </c>
      <c r="H627" t="s">
        <v>319</v>
      </c>
      <c r="I627" s="1">
        <v>137400</v>
      </c>
      <c r="J627">
        <v>0</v>
      </c>
      <c r="K627" s="7">
        <f>Таблица1[[#This Row],[Штуки]]/SUMIFS(Таблица1[Штуки],Таблица1[Ветка],Таблица1[[#This Row],[Ветка]],Таблица1[Месяц],Таблица1[[#This Row],[Месяц]])</f>
        <v>0</v>
      </c>
      <c r="L627" s="1">
        <v>0</v>
      </c>
      <c r="M627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</v>
      </c>
      <c r="N627" t="s">
        <v>96</v>
      </c>
      <c r="O627">
        <v>1</v>
      </c>
      <c r="P627">
        <v>4.9000000000000004</v>
      </c>
      <c r="Q627">
        <v>22</v>
      </c>
      <c r="R627" t="s">
        <v>344</v>
      </c>
      <c r="S627">
        <v>100</v>
      </c>
      <c r="T627">
        <v>77</v>
      </c>
      <c r="U627">
        <v>50</v>
      </c>
      <c r="V627">
        <v>4</v>
      </c>
      <c r="W627">
        <v>-18</v>
      </c>
    </row>
    <row r="628" spans="1:23" x14ac:dyDescent="0.3">
      <c r="A628">
        <v>148880716</v>
      </c>
      <c r="B628" t="s">
        <v>341</v>
      </c>
      <c r="C628" t="s">
        <v>125</v>
      </c>
      <c r="D628" t="s">
        <v>84</v>
      </c>
      <c r="E628">
        <v>725</v>
      </c>
      <c r="F628" t="s">
        <v>357</v>
      </c>
      <c r="G628" t="s">
        <v>31</v>
      </c>
      <c r="H628" t="s">
        <v>319</v>
      </c>
      <c r="I628" s="1">
        <v>420000</v>
      </c>
      <c r="J628">
        <v>0</v>
      </c>
      <c r="K628" s="7">
        <f>Таблица1[[#This Row],[Штуки]]/SUMIFS(Таблица1[Штуки],Таблица1[Ветка],Таблица1[[#This Row],[Ветка]],Таблица1[Месяц],Таблица1[[#This Row],[Месяц]])</f>
        <v>0</v>
      </c>
      <c r="L628" s="1">
        <v>0</v>
      </c>
      <c r="M628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</v>
      </c>
      <c r="N628" t="s">
        <v>96</v>
      </c>
      <c r="O628">
        <v>1</v>
      </c>
      <c r="P628">
        <v>0</v>
      </c>
      <c r="Q628">
        <v>0</v>
      </c>
      <c r="R628" t="s">
        <v>342</v>
      </c>
      <c r="S628">
        <v>200</v>
      </c>
      <c r="T628">
        <v>85</v>
      </c>
      <c r="U628">
        <v>75</v>
      </c>
      <c r="V628">
        <v>6</v>
      </c>
      <c r="W628">
        <v>-22</v>
      </c>
    </row>
    <row r="629" spans="1:23" x14ac:dyDescent="0.3">
      <c r="A629">
        <v>147291509</v>
      </c>
      <c r="B629" t="s">
        <v>343</v>
      </c>
      <c r="C629" t="s">
        <v>250</v>
      </c>
      <c r="D629" t="s">
        <v>251</v>
      </c>
      <c r="E629">
        <v>708</v>
      </c>
      <c r="F629" t="s">
        <v>357</v>
      </c>
      <c r="G629" t="s">
        <v>179</v>
      </c>
      <c r="H629" t="s">
        <v>319</v>
      </c>
      <c r="I629" s="1">
        <v>361760</v>
      </c>
      <c r="J629">
        <v>0</v>
      </c>
      <c r="K629" s="7">
        <f>Таблица1[[#This Row],[Штуки]]/SUMIFS(Таблица1[Штуки],Таблица1[Ветка],Таблица1[[#This Row],[Ветка]],Таблица1[Месяц],Таблица1[[#This Row],[Месяц]])</f>
        <v>0</v>
      </c>
      <c r="L629" s="1">
        <v>0</v>
      </c>
      <c r="M629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</v>
      </c>
      <c r="N629" t="s">
        <v>57</v>
      </c>
      <c r="O629">
        <v>6</v>
      </c>
      <c r="P629">
        <v>5</v>
      </c>
      <c r="Q629">
        <v>2</v>
      </c>
      <c r="R629" t="s">
        <v>344</v>
      </c>
      <c r="S629">
        <v>211</v>
      </c>
      <c r="T629">
        <v>80</v>
      </c>
      <c r="U629">
        <v>79</v>
      </c>
      <c r="V629">
        <v>2</v>
      </c>
      <c r="W629">
        <v>0</v>
      </c>
    </row>
    <row r="630" spans="1:23" x14ac:dyDescent="0.3">
      <c r="A630">
        <v>155437333</v>
      </c>
      <c r="B630" t="s">
        <v>341</v>
      </c>
      <c r="C630" t="s">
        <v>217</v>
      </c>
      <c r="D630" t="s">
        <v>84</v>
      </c>
      <c r="E630">
        <v>800</v>
      </c>
      <c r="F630" t="s">
        <v>358</v>
      </c>
      <c r="G630" t="s">
        <v>218</v>
      </c>
      <c r="H630" t="s">
        <v>319</v>
      </c>
      <c r="I630" s="1">
        <v>420000</v>
      </c>
      <c r="J630">
        <v>0</v>
      </c>
      <c r="K630" s="7">
        <f>Таблица1[[#This Row],[Штуки]]/SUMIFS(Таблица1[Штуки],Таблица1[Ветка],Таблица1[[#This Row],[Ветка]],Таблица1[Месяц],Таблица1[[#This Row],[Месяц]])</f>
        <v>0</v>
      </c>
      <c r="L630" s="1">
        <v>0</v>
      </c>
      <c r="M630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</v>
      </c>
      <c r="N630" t="s">
        <v>57</v>
      </c>
      <c r="O630">
        <v>1</v>
      </c>
      <c r="P630">
        <v>0</v>
      </c>
      <c r="Q630">
        <v>0</v>
      </c>
      <c r="R630" t="s">
        <v>342</v>
      </c>
      <c r="S630">
        <v>200</v>
      </c>
      <c r="T630">
        <v>85</v>
      </c>
      <c r="U630">
        <v>80</v>
      </c>
      <c r="V630">
        <v>6</v>
      </c>
      <c r="W630">
        <v>-26</v>
      </c>
    </row>
    <row r="631" spans="1:23" x14ac:dyDescent="0.3">
      <c r="A631">
        <v>159645113</v>
      </c>
      <c r="B631" t="s">
        <v>346</v>
      </c>
      <c r="C631" t="s">
        <v>248</v>
      </c>
      <c r="D631" t="s">
        <v>249</v>
      </c>
      <c r="E631">
        <v>1200</v>
      </c>
      <c r="F631" t="s">
        <v>362</v>
      </c>
      <c r="G631" t="s">
        <v>180</v>
      </c>
      <c r="H631" t="s">
        <v>319</v>
      </c>
      <c r="I631" s="1">
        <v>628990</v>
      </c>
      <c r="J631">
        <v>0</v>
      </c>
      <c r="K631" s="7">
        <f>Таблица1[[#This Row],[Штуки]]/SUMIFS(Таблица1[Штуки],Таблица1[Ветка],Таблица1[[#This Row],[Ветка]],Таблица1[Месяц],Таблица1[[#This Row],[Месяц]])</f>
        <v>0</v>
      </c>
      <c r="L631" s="1">
        <v>0</v>
      </c>
      <c r="M631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</v>
      </c>
      <c r="N631" t="s">
        <v>57</v>
      </c>
      <c r="O631">
        <v>1</v>
      </c>
      <c r="P631">
        <v>5</v>
      </c>
      <c r="Q631">
        <v>1</v>
      </c>
      <c r="R631" t="s">
        <v>344</v>
      </c>
      <c r="S631">
        <v>120</v>
      </c>
      <c r="T631">
        <v>196</v>
      </c>
      <c r="U631">
        <v>76</v>
      </c>
      <c r="V631">
        <v>0</v>
      </c>
      <c r="W631">
        <v>-15</v>
      </c>
    </row>
    <row r="632" spans="1:23" x14ac:dyDescent="0.3">
      <c r="A632">
        <v>104045575</v>
      </c>
      <c r="B632" t="s">
        <v>341</v>
      </c>
      <c r="C632" t="s">
        <v>201</v>
      </c>
      <c r="D632" t="s">
        <v>87</v>
      </c>
      <c r="E632">
        <v>999</v>
      </c>
      <c r="F632" t="s">
        <v>359</v>
      </c>
      <c r="G632" t="s">
        <v>179</v>
      </c>
      <c r="H632" t="s">
        <v>319</v>
      </c>
      <c r="I632" s="1">
        <v>950000</v>
      </c>
      <c r="J632">
        <v>0</v>
      </c>
      <c r="K632" s="7">
        <f>Таблица1[[#This Row],[Штуки]]/SUMIFS(Таблица1[Штуки],Таблица1[Ветка],Таблица1[[#This Row],[Ветка]],Таблица1[Месяц],Таблица1[[#This Row],[Месяц]])</f>
        <v>0</v>
      </c>
      <c r="L632" s="1">
        <v>0</v>
      </c>
      <c r="M632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</v>
      </c>
      <c r="N632" t="s">
        <v>57</v>
      </c>
      <c r="O632">
        <v>1</v>
      </c>
      <c r="P632">
        <v>4.7</v>
      </c>
      <c r="Q632">
        <v>7</v>
      </c>
      <c r="R632" t="s">
        <v>344</v>
      </c>
      <c r="S632">
        <v>250</v>
      </c>
      <c r="T632">
        <v>75</v>
      </c>
      <c r="U632">
        <v>87</v>
      </c>
      <c r="V632">
        <v>12</v>
      </c>
      <c r="W632">
        <v>-25</v>
      </c>
    </row>
    <row r="633" spans="1:23" x14ac:dyDescent="0.3">
      <c r="A633">
        <v>116443890</v>
      </c>
      <c r="B633" t="s">
        <v>346</v>
      </c>
      <c r="C633" t="s">
        <v>198</v>
      </c>
      <c r="D633" t="s">
        <v>77</v>
      </c>
      <c r="E633">
        <v>1200</v>
      </c>
      <c r="F633" t="s">
        <v>362</v>
      </c>
      <c r="G633" t="s">
        <v>179</v>
      </c>
      <c r="H633" t="s">
        <v>319</v>
      </c>
      <c r="I633" s="1">
        <v>955500</v>
      </c>
      <c r="J633">
        <v>0</v>
      </c>
      <c r="K633" s="7">
        <f>Таблица1[[#This Row],[Штуки]]/SUMIFS(Таблица1[Штуки],Таблица1[Ветка],Таблица1[[#This Row],[Ветка]],Таблица1[Месяц],Таблица1[[#This Row],[Месяц]])</f>
        <v>0</v>
      </c>
      <c r="L633" s="1">
        <v>0</v>
      </c>
      <c r="M633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</v>
      </c>
      <c r="N633" t="s">
        <v>57</v>
      </c>
      <c r="O633">
        <v>1</v>
      </c>
      <c r="P633">
        <v>0</v>
      </c>
      <c r="Q633">
        <v>0</v>
      </c>
      <c r="R633" t="s">
        <v>342</v>
      </c>
      <c r="S633">
        <v>140</v>
      </c>
      <c r="T633">
        <v>215</v>
      </c>
      <c r="U633">
        <v>70</v>
      </c>
      <c r="V633">
        <v>0</v>
      </c>
      <c r="W633">
        <v>-18</v>
      </c>
    </row>
    <row r="634" spans="1:23" x14ac:dyDescent="0.3">
      <c r="A634">
        <v>121623694</v>
      </c>
      <c r="B634" t="s">
        <v>341</v>
      </c>
      <c r="C634" t="s">
        <v>245</v>
      </c>
      <c r="D634" t="s">
        <v>81</v>
      </c>
      <c r="E634">
        <v>1300</v>
      </c>
      <c r="F634" t="s">
        <v>363</v>
      </c>
      <c r="G634" t="s">
        <v>188</v>
      </c>
      <c r="H634" t="s">
        <v>319</v>
      </c>
      <c r="I634" s="1">
        <v>809545</v>
      </c>
      <c r="J634">
        <v>0</v>
      </c>
      <c r="K634" s="7">
        <f>Таблица1[[#This Row],[Штуки]]/SUMIFS(Таблица1[Штуки],Таблица1[Ветка],Таблица1[[#This Row],[Ветка]],Таблица1[Месяц],Таблица1[[#This Row],[Месяц]])</f>
        <v>0</v>
      </c>
      <c r="L634" s="1">
        <v>0</v>
      </c>
      <c r="M634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</v>
      </c>
      <c r="N634" t="s">
        <v>57</v>
      </c>
      <c r="O634">
        <v>2</v>
      </c>
      <c r="P634">
        <v>0</v>
      </c>
      <c r="Q634">
        <v>0</v>
      </c>
      <c r="R634" t="s">
        <v>344</v>
      </c>
      <c r="S634">
        <v>250</v>
      </c>
      <c r="T634">
        <v>85</v>
      </c>
      <c r="U634">
        <v>96</v>
      </c>
      <c r="V634">
        <v>0</v>
      </c>
      <c r="W634">
        <v>-25</v>
      </c>
    </row>
    <row r="635" spans="1:23" x14ac:dyDescent="0.3">
      <c r="A635">
        <v>122619339</v>
      </c>
      <c r="B635" t="s">
        <v>341</v>
      </c>
      <c r="C635" t="s">
        <v>80</v>
      </c>
      <c r="D635" t="s">
        <v>81</v>
      </c>
      <c r="E635">
        <v>1300</v>
      </c>
      <c r="F635" t="s">
        <v>363</v>
      </c>
      <c r="G635" t="s">
        <v>82</v>
      </c>
      <c r="H635" t="s">
        <v>319</v>
      </c>
      <c r="I635" s="1">
        <v>995000</v>
      </c>
      <c r="J635">
        <v>0</v>
      </c>
      <c r="K635" s="7">
        <f>Таблица1[[#This Row],[Штуки]]/SUMIFS(Таблица1[Штуки],Таблица1[Ветка],Таблица1[[#This Row],[Ветка]],Таблица1[Месяц],Таблица1[[#This Row],[Месяц]])</f>
        <v>0</v>
      </c>
      <c r="L635" s="1">
        <v>0</v>
      </c>
      <c r="M635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</v>
      </c>
      <c r="N635" t="s">
        <v>57</v>
      </c>
      <c r="O635">
        <v>1</v>
      </c>
      <c r="P635">
        <v>5</v>
      </c>
      <c r="Q635">
        <v>1</v>
      </c>
      <c r="R635" t="s">
        <v>342</v>
      </c>
      <c r="S635">
        <v>275</v>
      </c>
      <c r="T635">
        <v>102</v>
      </c>
      <c r="U635">
        <v>104</v>
      </c>
      <c r="V635">
        <v>6</v>
      </c>
      <c r="W635">
        <v>-25</v>
      </c>
    </row>
    <row r="636" spans="1:23" x14ac:dyDescent="0.3">
      <c r="A636">
        <v>114109997</v>
      </c>
      <c r="B636" t="s">
        <v>343</v>
      </c>
      <c r="C636" t="s">
        <v>118</v>
      </c>
      <c r="D636" t="s">
        <v>87</v>
      </c>
      <c r="E636">
        <v>800</v>
      </c>
      <c r="F636" t="s">
        <v>358</v>
      </c>
      <c r="G636" t="s">
        <v>188</v>
      </c>
      <c r="H636" t="s">
        <v>319</v>
      </c>
      <c r="I636" s="1">
        <v>550000</v>
      </c>
      <c r="J636">
        <v>0</v>
      </c>
      <c r="K636" s="7">
        <f>Таблица1[[#This Row],[Штуки]]/SUMIFS(Таблица1[Штуки],Таблица1[Ветка],Таблица1[[#This Row],[Ветка]],Таблица1[Месяц],Таблица1[[#This Row],[Месяц]])</f>
        <v>0</v>
      </c>
      <c r="L636" s="1">
        <v>0</v>
      </c>
      <c r="M636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</v>
      </c>
      <c r="N636" t="s">
        <v>57</v>
      </c>
      <c r="O636">
        <v>1</v>
      </c>
      <c r="P636">
        <v>4.43</v>
      </c>
      <c r="Q636">
        <v>4</v>
      </c>
      <c r="R636" t="s">
        <v>344</v>
      </c>
      <c r="S636">
        <v>200</v>
      </c>
      <c r="T636">
        <v>84</v>
      </c>
      <c r="U636">
        <v>60</v>
      </c>
      <c r="V636">
        <v>8</v>
      </c>
      <c r="W636">
        <v>-22</v>
      </c>
    </row>
    <row r="637" spans="1:23" x14ac:dyDescent="0.3">
      <c r="A637">
        <v>119264286</v>
      </c>
      <c r="B637" t="s">
        <v>341</v>
      </c>
      <c r="C637" t="s">
        <v>34</v>
      </c>
      <c r="D637" t="s">
        <v>35</v>
      </c>
      <c r="E637">
        <v>268</v>
      </c>
      <c r="F637" t="s">
        <v>352</v>
      </c>
      <c r="G637" t="s">
        <v>181</v>
      </c>
      <c r="H637" t="s">
        <v>319</v>
      </c>
      <c r="I637" s="1">
        <v>263800</v>
      </c>
      <c r="J637">
        <v>0</v>
      </c>
      <c r="K637" s="7">
        <f>Таблица1[[#This Row],[Штуки]]/SUMIFS(Таблица1[Штуки],Таблица1[Ветка],Таблица1[[#This Row],[Ветка]],Таблица1[Месяц],Таблица1[[#This Row],[Месяц]])</f>
        <v>0</v>
      </c>
      <c r="L637" s="1">
        <v>0</v>
      </c>
      <c r="M637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</v>
      </c>
      <c r="N637" t="s">
        <v>23</v>
      </c>
      <c r="O637">
        <v>1</v>
      </c>
      <c r="P637">
        <v>5</v>
      </c>
      <c r="Q637">
        <v>91</v>
      </c>
      <c r="R637" t="s">
        <v>342</v>
      </c>
      <c r="S637">
        <v>110</v>
      </c>
      <c r="T637">
        <v>85</v>
      </c>
      <c r="U637">
        <v>60</v>
      </c>
      <c r="V637">
        <v>4</v>
      </c>
      <c r="W637">
        <v>-18</v>
      </c>
    </row>
    <row r="638" spans="1:23" x14ac:dyDescent="0.3">
      <c r="A638">
        <v>114880698</v>
      </c>
      <c r="B638" t="s">
        <v>341</v>
      </c>
      <c r="C638" t="s">
        <v>89</v>
      </c>
      <c r="D638" t="s">
        <v>46</v>
      </c>
      <c r="E638">
        <v>1110</v>
      </c>
      <c r="F638" t="s">
        <v>361</v>
      </c>
      <c r="G638" t="s">
        <v>26</v>
      </c>
      <c r="H638" t="s">
        <v>319</v>
      </c>
      <c r="I638" s="1">
        <v>724335</v>
      </c>
      <c r="J638">
        <v>0</v>
      </c>
      <c r="K638" s="7">
        <f>Таблица1[[#This Row],[Штуки]]/SUMIFS(Таблица1[Штуки],Таблица1[Ветка],Таблица1[[#This Row],[Ветка]],Таблица1[Месяц],Таблица1[[#This Row],[Месяц]])</f>
        <v>0</v>
      </c>
      <c r="L638" s="1">
        <v>0</v>
      </c>
      <c r="M638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</v>
      </c>
      <c r="N638" t="s">
        <v>96</v>
      </c>
      <c r="O638">
        <v>4</v>
      </c>
      <c r="P638">
        <v>5</v>
      </c>
      <c r="Q638">
        <v>1</v>
      </c>
      <c r="R638" t="s">
        <v>345</v>
      </c>
      <c r="S638">
        <v>250</v>
      </c>
      <c r="T638">
        <v>81</v>
      </c>
      <c r="U638">
        <v>85.5</v>
      </c>
      <c r="V638">
        <v>7</v>
      </c>
      <c r="W638">
        <v>-24</v>
      </c>
    </row>
    <row r="639" spans="1:23" x14ac:dyDescent="0.3">
      <c r="A639">
        <v>100620922</v>
      </c>
      <c r="B639" t="s">
        <v>343</v>
      </c>
      <c r="C639" t="s">
        <v>141</v>
      </c>
      <c r="D639" t="s">
        <v>93</v>
      </c>
      <c r="E639">
        <v>700</v>
      </c>
      <c r="F639" t="s">
        <v>357</v>
      </c>
      <c r="G639" t="s">
        <v>26</v>
      </c>
      <c r="H639" t="s">
        <v>319</v>
      </c>
      <c r="I639" s="1">
        <v>350000</v>
      </c>
      <c r="J639">
        <v>0</v>
      </c>
      <c r="K639" s="7">
        <f>Таблица1[[#This Row],[Штуки]]/SUMIFS(Таблица1[Штуки],Таблица1[Ветка],Таблица1[[#This Row],[Ветка]],Таблица1[Месяц],Таблица1[[#This Row],[Месяц]])</f>
        <v>0</v>
      </c>
      <c r="L639" s="1">
        <v>0</v>
      </c>
      <c r="M639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</v>
      </c>
      <c r="N639" t="s">
        <v>96</v>
      </c>
      <c r="O639">
        <v>1</v>
      </c>
      <c r="P639">
        <v>5</v>
      </c>
      <c r="Q639">
        <v>18</v>
      </c>
      <c r="R639" t="s">
        <v>344</v>
      </c>
      <c r="S639">
        <v>180</v>
      </c>
      <c r="T639">
        <v>82.7</v>
      </c>
      <c r="U639">
        <v>76</v>
      </c>
      <c r="V639">
        <v>0</v>
      </c>
      <c r="W639">
        <v>-18</v>
      </c>
    </row>
    <row r="640" spans="1:23" x14ac:dyDescent="0.3">
      <c r="A640">
        <v>138886748</v>
      </c>
      <c r="B640" t="s">
        <v>346</v>
      </c>
      <c r="C640" t="s">
        <v>124</v>
      </c>
      <c r="D640" t="s">
        <v>100</v>
      </c>
      <c r="E640">
        <v>600</v>
      </c>
      <c r="F640" t="s">
        <v>356</v>
      </c>
      <c r="G640" t="s">
        <v>101</v>
      </c>
      <c r="H640" t="s">
        <v>319</v>
      </c>
      <c r="I640" s="1">
        <v>406820</v>
      </c>
      <c r="J640">
        <v>0</v>
      </c>
      <c r="K640" s="7">
        <f>Таблица1[[#This Row],[Штуки]]/SUMIFS(Таблица1[Штуки],Таблица1[Ветка],Таблица1[[#This Row],[Ветка]],Таблица1[Месяц],Таблица1[[#This Row],[Месяц]])</f>
        <v>0</v>
      </c>
      <c r="L640" s="1">
        <v>0</v>
      </c>
      <c r="M640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</v>
      </c>
      <c r="N640" t="s">
        <v>96</v>
      </c>
      <c r="O640">
        <v>7</v>
      </c>
      <c r="P640">
        <v>5</v>
      </c>
      <c r="Q640">
        <v>4</v>
      </c>
      <c r="R640" t="s">
        <v>344</v>
      </c>
      <c r="S640">
        <v>60</v>
      </c>
      <c r="T640">
        <v>196</v>
      </c>
      <c r="U640">
        <v>76</v>
      </c>
      <c r="V640">
        <v>0</v>
      </c>
      <c r="W640">
        <v>-14</v>
      </c>
    </row>
    <row r="641" spans="1:23" x14ac:dyDescent="0.3">
      <c r="A641">
        <v>110555381</v>
      </c>
      <c r="B641" t="s">
        <v>343</v>
      </c>
      <c r="C641" t="s">
        <v>127</v>
      </c>
      <c r="D641" t="s">
        <v>87</v>
      </c>
      <c r="E641">
        <v>700</v>
      </c>
      <c r="F641" t="s">
        <v>357</v>
      </c>
      <c r="G641" t="s">
        <v>88</v>
      </c>
      <c r="H641" t="s">
        <v>319</v>
      </c>
      <c r="I641" s="1">
        <v>480000</v>
      </c>
      <c r="J641">
        <v>0</v>
      </c>
      <c r="K641" s="7">
        <f>Таблица1[[#This Row],[Штуки]]/SUMIFS(Таблица1[Штуки],Таблица1[Ветка],Таблица1[[#This Row],[Ветка]],Таблица1[Месяц],Таблица1[[#This Row],[Месяц]])</f>
        <v>0</v>
      </c>
      <c r="L641" s="1">
        <v>0</v>
      </c>
      <c r="M641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</v>
      </c>
      <c r="N641" t="s">
        <v>96</v>
      </c>
      <c r="O641">
        <v>1</v>
      </c>
      <c r="P641">
        <v>4.8899999999999997</v>
      </c>
      <c r="Q641">
        <v>2</v>
      </c>
      <c r="R641" t="s">
        <v>344</v>
      </c>
      <c r="S641">
        <v>180</v>
      </c>
      <c r="T641">
        <v>84</v>
      </c>
      <c r="U641">
        <v>60</v>
      </c>
      <c r="V641">
        <v>3</v>
      </c>
      <c r="W641">
        <v>-22</v>
      </c>
    </row>
    <row r="642" spans="1:23" x14ac:dyDescent="0.3">
      <c r="A642">
        <v>103353026</v>
      </c>
      <c r="B642" t="s">
        <v>343</v>
      </c>
      <c r="C642" t="s">
        <v>161</v>
      </c>
      <c r="D642" t="s">
        <v>71</v>
      </c>
      <c r="E642">
        <v>558</v>
      </c>
      <c r="F642" t="s">
        <v>355</v>
      </c>
      <c r="G642" t="s">
        <v>26</v>
      </c>
      <c r="H642" t="s">
        <v>319</v>
      </c>
      <c r="I642" s="1">
        <v>268500</v>
      </c>
      <c r="J642">
        <v>0</v>
      </c>
      <c r="K642" s="7">
        <f>Таблица1[[#This Row],[Штуки]]/SUMIFS(Таблица1[Штуки],Таблица1[Ветка],Таблица1[[#This Row],[Ветка]],Таблица1[Месяц],Таблица1[[#This Row],[Месяц]])</f>
        <v>0</v>
      </c>
      <c r="L642" s="1">
        <v>0</v>
      </c>
      <c r="M642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</v>
      </c>
      <c r="N642" t="s">
        <v>96</v>
      </c>
      <c r="O642">
        <v>1</v>
      </c>
      <c r="P642">
        <v>4.9000000000000004</v>
      </c>
      <c r="Q642">
        <v>24</v>
      </c>
      <c r="R642" t="s">
        <v>344</v>
      </c>
      <c r="S642">
        <v>157</v>
      </c>
      <c r="T642">
        <v>86</v>
      </c>
      <c r="U642">
        <v>80</v>
      </c>
      <c r="V642">
        <v>1</v>
      </c>
      <c r="W642">
        <v>-18</v>
      </c>
    </row>
    <row r="643" spans="1:23" x14ac:dyDescent="0.3">
      <c r="A643">
        <v>154663956</v>
      </c>
      <c r="B643" t="s">
        <v>341</v>
      </c>
      <c r="C643" t="s">
        <v>233</v>
      </c>
      <c r="D643" t="s">
        <v>115</v>
      </c>
      <c r="E643">
        <v>518</v>
      </c>
      <c r="F643" t="s">
        <v>355</v>
      </c>
      <c r="G643" t="s">
        <v>180</v>
      </c>
      <c r="H643" t="s">
        <v>319</v>
      </c>
      <c r="I643" s="1">
        <v>280000</v>
      </c>
      <c r="J643">
        <v>0</v>
      </c>
      <c r="K643" s="7">
        <f>Таблица1[[#This Row],[Штуки]]/SUMIFS(Таблица1[Штуки],Таблица1[Ветка],Таблица1[[#This Row],[Ветка]],Таблица1[Месяц],Таблица1[[#This Row],[Месяц]])</f>
        <v>0</v>
      </c>
      <c r="L643" s="1">
        <v>0</v>
      </c>
      <c r="M643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</v>
      </c>
      <c r="N643" t="s">
        <v>96</v>
      </c>
      <c r="O643">
        <v>1</v>
      </c>
      <c r="P643">
        <v>0</v>
      </c>
      <c r="Q643">
        <v>0</v>
      </c>
      <c r="R643" t="s">
        <v>344</v>
      </c>
      <c r="S643">
        <v>150</v>
      </c>
      <c r="T643">
        <v>83.5</v>
      </c>
      <c r="U643">
        <v>75</v>
      </c>
      <c r="V643">
        <v>5</v>
      </c>
      <c r="W643">
        <v>-20</v>
      </c>
    </row>
    <row r="644" spans="1:23" x14ac:dyDescent="0.3">
      <c r="A644">
        <v>100620951</v>
      </c>
      <c r="B644" t="s">
        <v>341</v>
      </c>
      <c r="C644" t="s">
        <v>278</v>
      </c>
      <c r="D644" t="s">
        <v>93</v>
      </c>
      <c r="E644">
        <v>550</v>
      </c>
      <c r="F644" t="s">
        <v>355</v>
      </c>
      <c r="G644" t="s">
        <v>179</v>
      </c>
      <c r="H644" t="s">
        <v>319</v>
      </c>
      <c r="I644" s="1">
        <v>389900</v>
      </c>
      <c r="J644">
        <v>0</v>
      </c>
      <c r="K644" s="7">
        <f>Таблица1[[#This Row],[Штуки]]/SUMIFS(Таблица1[Штуки],Таблица1[Ветка],Таблица1[[#This Row],[Ветка]],Таблица1[Месяц],Таблица1[[#This Row],[Месяц]])</f>
        <v>0</v>
      </c>
      <c r="L644" s="1">
        <v>0</v>
      </c>
      <c r="M644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</v>
      </c>
      <c r="N644" t="s">
        <v>96</v>
      </c>
      <c r="O644">
        <v>2</v>
      </c>
      <c r="P644">
        <v>5</v>
      </c>
      <c r="Q644">
        <v>17</v>
      </c>
      <c r="R644" t="s">
        <v>344</v>
      </c>
      <c r="S644">
        <v>163.4</v>
      </c>
      <c r="T644">
        <v>90</v>
      </c>
      <c r="U644">
        <v>65.3</v>
      </c>
      <c r="V644">
        <v>5</v>
      </c>
      <c r="W644">
        <v>0</v>
      </c>
    </row>
    <row r="645" spans="1:23" x14ac:dyDescent="0.3">
      <c r="A645">
        <v>150941920</v>
      </c>
      <c r="B645" t="s">
        <v>341</v>
      </c>
      <c r="C645" t="s">
        <v>232</v>
      </c>
      <c r="D645" t="s">
        <v>135</v>
      </c>
      <c r="E645">
        <v>518</v>
      </c>
      <c r="F645" t="s">
        <v>355</v>
      </c>
      <c r="G645" t="s">
        <v>180</v>
      </c>
      <c r="H645" t="s">
        <v>319</v>
      </c>
      <c r="I645" s="1">
        <v>289523</v>
      </c>
      <c r="J645">
        <v>0</v>
      </c>
      <c r="K645" s="7">
        <f>Таблица1[[#This Row],[Штуки]]/SUMIFS(Таблица1[Штуки],Таблица1[Ветка],Таблица1[[#This Row],[Ветка]],Таблица1[Месяц],Таблица1[[#This Row],[Месяц]])</f>
        <v>0</v>
      </c>
      <c r="L645" s="1">
        <v>0</v>
      </c>
      <c r="M645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</v>
      </c>
      <c r="N645" t="s">
        <v>96</v>
      </c>
      <c r="O645">
        <v>1</v>
      </c>
      <c r="P645">
        <v>0</v>
      </c>
      <c r="Q645">
        <v>0</v>
      </c>
      <c r="R645" t="s">
        <v>344</v>
      </c>
      <c r="S645">
        <v>149.5</v>
      </c>
      <c r="T645">
        <v>85</v>
      </c>
      <c r="U645">
        <v>76.5</v>
      </c>
      <c r="V645">
        <v>4</v>
      </c>
      <c r="W645">
        <v>-20</v>
      </c>
    </row>
    <row r="646" spans="1:23" x14ac:dyDescent="0.3">
      <c r="A646">
        <v>155757762</v>
      </c>
      <c r="B646" t="s">
        <v>341</v>
      </c>
      <c r="C646" t="s">
        <v>268</v>
      </c>
      <c r="D646" t="s">
        <v>133</v>
      </c>
      <c r="E646">
        <v>326</v>
      </c>
      <c r="F646" t="s">
        <v>353</v>
      </c>
      <c r="G646" t="s">
        <v>179</v>
      </c>
      <c r="H646" t="s">
        <v>319</v>
      </c>
      <c r="I646" s="1">
        <v>218479</v>
      </c>
      <c r="J646">
        <v>0</v>
      </c>
      <c r="K646" s="7">
        <f>Таблица1[[#This Row],[Штуки]]/SUMIFS(Таблица1[Штуки],Таблица1[Ветка],Таблица1[[#This Row],[Ветка]],Таблица1[Месяц],Таблица1[[#This Row],[Месяц]])</f>
        <v>0</v>
      </c>
      <c r="L646" s="1">
        <v>0</v>
      </c>
      <c r="M646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</v>
      </c>
      <c r="N646" t="s">
        <v>96</v>
      </c>
      <c r="O646">
        <v>3</v>
      </c>
      <c r="P646">
        <v>5</v>
      </c>
      <c r="Q646">
        <v>0</v>
      </c>
      <c r="R646" t="s">
        <v>342</v>
      </c>
      <c r="S646">
        <v>125</v>
      </c>
      <c r="T646">
        <v>90</v>
      </c>
      <c r="U646">
        <v>60</v>
      </c>
      <c r="V646">
        <v>3</v>
      </c>
      <c r="W646">
        <v>-18</v>
      </c>
    </row>
    <row r="647" spans="1:23" x14ac:dyDescent="0.3">
      <c r="A647">
        <v>144491862</v>
      </c>
      <c r="B647" t="s">
        <v>341</v>
      </c>
      <c r="C647" t="s">
        <v>267</v>
      </c>
      <c r="D647" t="s">
        <v>41</v>
      </c>
      <c r="E647">
        <v>700</v>
      </c>
      <c r="F647" t="s">
        <v>357</v>
      </c>
      <c r="G647" t="s">
        <v>180</v>
      </c>
      <c r="H647" t="s">
        <v>319</v>
      </c>
      <c r="I647" s="1">
        <v>408600</v>
      </c>
      <c r="J647">
        <v>0</v>
      </c>
      <c r="K647" s="7">
        <f>Таблица1[[#This Row],[Штуки]]/SUMIFS(Таблица1[Штуки],Таблица1[Ветка],Таблица1[[#This Row],[Ветка]],Таблица1[Месяц],Таблица1[[#This Row],[Месяц]])</f>
        <v>0</v>
      </c>
      <c r="L647" s="1">
        <v>0</v>
      </c>
      <c r="M647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</v>
      </c>
      <c r="N647" t="s">
        <v>96</v>
      </c>
      <c r="O647">
        <v>1</v>
      </c>
      <c r="P647">
        <v>0</v>
      </c>
      <c r="Q647">
        <v>0</v>
      </c>
      <c r="R647" t="s">
        <v>344</v>
      </c>
      <c r="S647">
        <v>74</v>
      </c>
      <c r="T647">
        <v>87</v>
      </c>
      <c r="U647">
        <v>45</v>
      </c>
      <c r="V647">
        <v>0</v>
      </c>
      <c r="W647">
        <v>-18</v>
      </c>
    </row>
    <row r="648" spans="1:23" x14ac:dyDescent="0.3">
      <c r="A648">
        <v>2800259</v>
      </c>
      <c r="B648" t="s">
        <v>341</v>
      </c>
      <c r="C648" t="s">
        <v>222</v>
      </c>
      <c r="D648" t="s">
        <v>223</v>
      </c>
      <c r="E648">
        <v>551</v>
      </c>
      <c r="F648" t="s">
        <v>355</v>
      </c>
      <c r="G648" t="s">
        <v>179</v>
      </c>
      <c r="H648" t="s">
        <v>319</v>
      </c>
      <c r="I648" s="1">
        <v>458000</v>
      </c>
      <c r="J648">
        <v>0</v>
      </c>
      <c r="K648" s="7">
        <f>Таблица1[[#This Row],[Штуки]]/SUMIFS(Таблица1[Штуки],Таблица1[Ветка],Таблица1[[#This Row],[Ветка]],Таблица1[Месяц],Таблица1[[#This Row],[Месяц]])</f>
        <v>0</v>
      </c>
      <c r="L648" s="1">
        <v>0</v>
      </c>
      <c r="M648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</v>
      </c>
      <c r="N648" t="s">
        <v>96</v>
      </c>
      <c r="O648">
        <v>1</v>
      </c>
      <c r="P648">
        <v>4.4000000000000004</v>
      </c>
      <c r="Q648">
        <v>8</v>
      </c>
      <c r="R648" t="s">
        <v>344</v>
      </c>
      <c r="S648">
        <v>160</v>
      </c>
      <c r="T648">
        <v>80</v>
      </c>
      <c r="U648">
        <v>60</v>
      </c>
      <c r="V648">
        <v>6</v>
      </c>
      <c r="W648">
        <v>0</v>
      </c>
    </row>
    <row r="649" spans="1:23" x14ac:dyDescent="0.3">
      <c r="A649">
        <v>156863274</v>
      </c>
      <c r="B649" t="s">
        <v>343</v>
      </c>
      <c r="C649" t="s">
        <v>266</v>
      </c>
      <c r="D649" t="s">
        <v>91</v>
      </c>
      <c r="E649">
        <v>500</v>
      </c>
      <c r="F649" t="s">
        <v>355</v>
      </c>
      <c r="G649" t="s">
        <v>179</v>
      </c>
      <c r="H649" t="s">
        <v>319</v>
      </c>
      <c r="I649" s="1">
        <v>231990</v>
      </c>
      <c r="J649">
        <v>0</v>
      </c>
      <c r="K649" s="7">
        <f>Таблица1[[#This Row],[Штуки]]/SUMIFS(Таблица1[Штуки],Таблица1[Ветка],Таблица1[[#This Row],[Ветка]],Таблица1[Месяц],Таблица1[[#This Row],[Месяц]])</f>
        <v>0</v>
      </c>
      <c r="L649" s="1">
        <v>0</v>
      </c>
      <c r="M649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</v>
      </c>
      <c r="N649" t="s">
        <v>96</v>
      </c>
      <c r="O649">
        <v>3</v>
      </c>
      <c r="P649">
        <v>0</v>
      </c>
      <c r="Q649">
        <v>0</v>
      </c>
      <c r="R649" t="s">
        <v>342</v>
      </c>
      <c r="S649">
        <v>140</v>
      </c>
      <c r="T649">
        <v>71</v>
      </c>
      <c r="U649">
        <v>89</v>
      </c>
      <c r="V649">
        <v>0</v>
      </c>
      <c r="W649">
        <v>-18</v>
      </c>
    </row>
    <row r="650" spans="1:23" x14ac:dyDescent="0.3">
      <c r="A650">
        <v>148807903</v>
      </c>
      <c r="B650" t="s">
        <v>343</v>
      </c>
      <c r="C650" t="s">
        <v>340</v>
      </c>
      <c r="D650" t="s">
        <v>74</v>
      </c>
      <c r="E650">
        <v>500</v>
      </c>
      <c r="F650" t="s">
        <v>355</v>
      </c>
      <c r="G650" t="s">
        <v>179</v>
      </c>
      <c r="H650" t="s">
        <v>319</v>
      </c>
      <c r="I650" s="1">
        <v>199990</v>
      </c>
      <c r="J650">
        <v>0</v>
      </c>
      <c r="K650" s="7">
        <f>Таблица1[[#This Row],[Штуки]]/SUMIFS(Таблица1[Штуки],Таблица1[Ветка],Таблица1[[#This Row],[Ветка]],Таблица1[Месяц],Таблица1[[#This Row],[Месяц]])</f>
        <v>0</v>
      </c>
      <c r="L650" s="1">
        <v>0</v>
      </c>
      <c r="M650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</v>
      </c>
      <c r="N650" t="s">
        <v>96</v>
      </c>
      <c r="O650">
        <v>2</v>
      </c>
      <c r="P650">
        <v>5</v>
      </c>
      <c r="Q650">
        <v>1</v>
      </c>
      <c r="R650" t="s">
        <v>342</v>
      </c>
      <c r="S650">
        <v>145.19999999999999</v>
      </c>
      <c r="T650">
        <v>88.5</v>
      </c>
      <c r="U650">
        <v>76</v>
      </c>
      <c r="V650">
        <v>0</v>
      </c>
      <c r="W650">
        <v>-17</v>
      </c>
    </row>
    <row r="651" spans="1:23" x14ac:dyDescent="0.3">
      <c r="A651">
        <v>148461790</v>
      </c>
      <c r="B651" t="s">
        <v>341</v>
      </c>
      <c r="C651" t="s">
        <v>83</v>
      </c>
      <c r="D651" t="s">
        <v>84</v>
      </c>
      <c r="E651">
        <v>640</v>
      </c>
      <c r="F651" t="s">
        <v>356</v>
      </c>
      <c r="G651" t="s">
        <v>36</v>
      </c>
      <c r="H651" t="s">
        <v>319</v>
      </c>
      <c r="I651" s="1">
        <v>410000</v>
      </c>
      <c r="J651">
        <v>0</v>
      </c>
      <c r="K651" s="7">
        <f>Таблица1[[#This Row],[Штуки]]/SUMIFS(Таблица1[Штуки],Таблица1[Ветка],Таблица1[[#This Row],[Ветка]],Таблица1[Месяц],Таблица1[[#This Row],[Месяц]])</f>
        <v>0</v>
      </c>
      <c r="L651" s="1">
        <v>0</v>
      </c>
      <c r="M651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</v>
      </c>
      <c r="N651" t="s">
        <v>96</v>
      </c>
      <c r="O651">
        <v>1</v>
      </c>
      <c r="P651">
        <v>0</v>
      </c>
      <c r="Q651">
        <v>0</v>
      </c>
      <c r="R651" t="s">
        <v>342</v>
      </c>
      <c r="S651">
        <v>180</v>
      </c>
      <c r="T651">
        <v>85</v>
      </c>
      <c r="U651">
        <v>77</v>
      </c>
      <c r="V651">
        <v>6</v>
      </c>
      <c r="W651">
        <v>-22</v>
      </c>
    </row>
    <row r="652" spans="1:23" x14ac:dyDescent="0.3">
      <c r="A652">
        <v>148982330</v>
      </c>
      <c r="B652" t="s">
        <v>341</v>
      </c>
      <c r="C652" t="s">
        <v>154</v>
      </c>
      <c r="D652" t="s">
        <v>46</v>
      </c>
      <c r="E652">
        <v>320</v>
      </c>
      <c r="F652" t="s">
        <v>353</v>
      </c>
      <c r="G652" t="s">
        <v>26</v>
      </c>
      <c r="H652" t="s">
        <v>319</v>
      </c>
      <c r="I652" s="1">
        <v>259990</v>
      </c>
      <c r="J652">
        <v>0</v>
      </c>
      <c r="K652" s="7">
        <f>Таблица1[[#This Row],[Штуки]]/SUMIFS(Таблица1[Штуки],Таблица1[Ветка],Таблица1[[#This Row],[Ветка]],Таблица1[Месяц],Таблица1[[#This Row],[Месяц]])</f>
        <v>0</v>
      </c>
      <c r="L652" s="1">
        <v>0</v>
      </c>
      <c r="M652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</v>
      </c>
      <c r="N652" t="s">
        <v>96</v>
      </c>
      <c r="O652">
        <v>1</v>
      </c>
      <c r="P652">
        <v>0</v>
      </c>
      <c r="Q652">
        <v>0</v>
      </c>
      <c r="R652" t="s">
        <v>344</v>
      </c>
      <c r="S652">
        <v>107.5</v>
      </c>
      <c r="T652">
        <v>81.8</v>
      </c>
      <c r="U652">
        <v>65</v>
      </c>
      <c r="V652">
        <v>4</v>
      </c>
      <c r="W652">
        <v>-24</v>
      </c>
    </row>
    <row r="653" spans="1:23" x14ac:dyDescent="0.3">
      <c r="A653">
        <v>2800214</v>
      </c>
      <c r="B653" t="s">
        <v>343</v>
      </c>
      <c r="C653" t="s">
        <v>120</v>
      </c>
      <c r="D653" t="s">
        <v>87</v>
      </c>
      <c r="E653">
        <v>650</v>
      </c>
      <c r="F653" t="s">
        <v>356</v>
      </c>
      <c r="G653" t="s">
        <v>26</v>
      </c>
      <c r="H653" t="s">
        <v>319</v>
      </c>
      <c r="I653" s="1">
        <v>580000</v>
      </c>
      <c r="J653">
        <v>0</v>
      </c>
      <c r="K653" s="7">
        <f>Таблица1[[#This Row],[Штуки]]/SUMIFS(Таблица1[Штуки],Таблица1[Ветка],Таблица1[[#This Row],[Ветка]],Таблица1[Месяц],Таблица1[[#This Row],[Месяц]])</f>
        <v>0</v>
      </c>
      <c r="L653" s="1">
        <v>0</v>
      </c>
      <c r="M653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</v>
      </c>
      <c r="N653" t="s">
        <v>96</v>
      </c>
      <c r="O653">
        <v>1</v>
      </c>
      <c r="P653">
        <v>0</v>
      </c>
      <c r="Q653">
        <v>0</v>
      </c>
      <c r="R653" t="s">
        <v>344</v>
      </c>
      <c r="S653">
        <v>182</v>
      </c>
      <c r="T653">
        <v>92</v>
      </c>
      <c r="U653">
        <v>62</v>
      </c>
      <c r="V653">
        <v>4</v>
      </c>
      <c r="W653">
        <v>-22</v>
      </c>
    </row>
    <row r="654" spans="1:23" x14ac:dyDescent="0.3">
      <c r="A654">
        <v>114881099</v>
      </c>
      <c r="B654" t="s">
        <v>341</v>
      </c>
      <c r="C654" t="s">
        <v>150</v>
      </c>
      <c r="D654" t="s">
        <v>46</v>
      </c>
      <c r="E654">
        <v>331</v>
      </c>
      <c r="F654" t="s">
        <v>353</v>
      </c>
      <c r="G654" t="s">
        <v>26</v>
      </c>
      <c r="H654" t="s">
        <v>319</v>
      </c>
      <c r="I654" s="1">
        <v>405000</v>
      </c>
      <c r="J654">
        <v>0</v>
      </c>
      <c r="K654" s="7">
        <f>Таблица1[[#This Row],[Штуки]]/SUMIFS(Таблица1[Штуки],Таблица1[Ветка],Таблица1[[#This Row],[Ветка]],Таблица1[Месяц],Таблица1[[#This Row],[Месяц]])</f>
        <v>0</v>
      </c>
      <c r="L654" s="1">
        <v>0</v>
      </c>
      <c r="M654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</v>
      </c>
      <c r="N654" t="s">
        <v>96</v>
      </c>
      <c r="O654">
        <v>1</v>
      </c>
      <c r="P654">
        <v>0</v>
      </c>
      <c r="Q654">
        <v>0</v>
      </c>
      <c r="R654" t="s">
        <v>344</v>
      </c>
      <c r="S654">
        <v>107</v>
      </c>
      <c r="T654">
        <v>85</v>
      </c>
      <c r="U654">
        <v>65</v>
      </c>
      <c r="V654">
        <v>4</v>
      </c>
      <c r="W654">
        <v>-24</v>
      </c>
    </row>
    <row r="655" spans="1:23" x14ac:dyDescent="0.3">
      <c r="A655">
        <v>100619981</v>
      </c>
      <c r="B655" t="s">
        <v>341</v>
      </c>
      <c r="C655" t="s">
        <v>131</v>
      </c>
      <c r="D655" t="s">
        <v>87</v>
      </c>
      <c r="E655">
        <v>590</v>
      </c>
      <c r="F655" t="s">
        <v>355</v>
      </c>
      <c r="G655" t="s">
        <v>82</v>
      </c>
      <c r="H655" t="s">
        <v>319</v>
      </c>
      <c r="I655" s="1">
        <v>480000</v>
      </c>
      <c r="J655">
        <v>0</v>
      </c>
      <c r="K655" s="7">
        <f>Таблица1[[#This Row],[Штуки]]/SUMIFS(Таблица1[Штуки],Таблица1[Ветка],Таблица1[[#This Row],[Ветка]],Таблица1[Месяц],Таблица1[[#This Row],[Месяц]])</f>
        <v>0</v>
      </c>
      <c r="L655" s="1">
        <v>0</v>
      </c>
      <c r="M655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</v>
      </c>
      <c r="N655" t="s">
        <v>96</v>
      </c>
      <c r="O655">
        <v>1</v>
      </c>
      <c r="P655">
        <v>4.8499999999999996</v>
      </c>
      <c r="Q655">
        <v>42</v>
      </c>
      <c r="R655" t="s">
        <v>344</v>
      </c>
      <c r="S655">
        <v>181</v>
      </c>
      <c r="T655">
        <v>85</v>
      </c>
      <c r="U655">
        <v>60</v>
      </c>
      <c r="V655">
        <v>8</v>
      </c>
      <c r="W655">
        <v>-25</v>
      </c>
    </row>
    <row r="656" spans="1:23" x14ac:dyDescent="0.3">
      <c r="A656">
        <v>143838104</v>
      </c>
      <c r="B656" t="s">
        <v>341</v>
      </c>
      <c r="C656" t="s">
        <v>39</v>
      </c>
      <c r="D656" t="s">
        <v>35</v>
      </c>
      <c r="E656">
        <v>205</v>
      </c>
      <c r="F656" t="s">
        <v>352</v>
      </c>
      <c r="G656" t="s">
        <v>26</v>
      </c>
      <c r="H656" t="s">
        <v>319</v>
      </c>
      <c r="I656" s="1">
        <v>137400</v>
      </c>
      <c r="J656">
        <v>0</v>
      </c>
      <c r="K656" s="7">
        <f>Таблица1[[#This Row],[Штуки]]/SUMIFS(Таблица1[Штуки],Таблица1[Ветка],Таблица1[[#This Row],[Ветка]],Таблица1[Месяц],Таблица1[[#This Row],[Месяц]])</f>
        <v>0</v>
      </c>
      <c r="L656" s="1">
        <v>0</v>
      </c>
      <c r="M656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</v>
      </c>
      <c r="N656" t="s">
        <v>96</v>
      </c>
      <c r="O656">
        <v>1</v>
      </c>
      <c r="P656">
        <v>4.9000000000000004</v>
      </c>
      <c r="Q656">
        <v>22</v>
      </c>
      <c r="R656" t="s">
        <v>344</v>
      </c>
      <c r="S656">
        <v>100</v>
      </c>
      <c r="T656">
        <v>77</v>
      </c>
      <c r="U656">
        <v>50</v>
      </c>
      <c r="V656">
        <v>4</v>
      </c>
      <c r="W656">
        <v>-18</v>
      </c>
    </row>
    <row r="657" spans="1:23" x14ac:dyDescent="0.3">
      <c r="A657">
        <v>148880716</v>
      </c>
      <c r="B657" t="s">
        <v>341</v>
      </c>
      <c r="C657" t="s">
        <v>125</v>
      </c>
      <c r="D657" t="s">
        <v>84</v>
      </c>
      <c r="E657">
        <v>725</v>
      </c>
      <c r="F657" t="s">
        <v>357</v>
      </c>
      <c r="G657" t="s">
        <v>31</v>
      </c>
      <c r="H657" t="s">
        <v>319</v>
      </c>
      <c r="I657" s="1">
        <v>420000</v>
      </c>
      <c r="J657">
        <v>0</v>
      </c>
      <c r="K657" s="7">
        <f>Таблица1[[#This Row],[Штуки]]/SUMIFS(Таблица1[Штуки],Таблица1[Ветка],Таблица1[[#This Row],[Ветка]],Таблица1[Месяц],Таблица1[[#This Row],[Месяц]])</f>
        <v>0</v>
      </c>
      <c r="L657" s="1">
        <v>0</v>
      </c>
      <c r="M657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</v>
      </c>
      <c r="N657" t="s">
        <v>96</v>
      </c>
      <c r="O657">
        <v>1</v>
      </c>
      <c r="P657">
        <v>0</v>
      </c>
      <c r="Q657">
        <v>0</v>
      </c>
      <c r="R657" t="s">
        <v>342</v>
      </c>
      <c r="S657">
        <v>200</v>
      </c>
      <c r="T657">
        <v>85</v>
      </c>
      <c r="U657">
        <v>75</v>
      </c>
      <c r="V657">
        <v>6</v>
      </c>
      <c r="W657">
        <v>-22</v>
      </c>
    </row>
    <row r="658" spans="1:23" x14ac:dyDescent="0.3">
      <c r="A658">
        <v>147291509</v>
      </c>
      <c r="B658" t="s">
        <v>343</v>
      </c>
      <c r="C658" t="s">
        <v>250</v>
      </c>
      <c r="D658" t="s">
        <v>251</v>
      </c>
      <c r="E658">
        <v>708</v>
      </c>
      <c r="F658" t="s">
        <v>357</v>
      </c>
      <c r="G658" t="s">
        <v>179</v>
      </c>
      <c r="H658" t="s">
        <v>319</v>
      </c>
      <c r="I658" s="1">
        <v>361760</v>
      </c>
      <c r="J658">
        <v>0</v>
      </c>
      <c r="K658" s="7">
        <f>Таблица1[[#This Row],[Штуки]]/SUMIFS(Таблица1[Штуки],Таблица1[Ветка],Таблица1[[#This Row],[Ветка]],Таблица1[Месяц],Таблица1[[#This Row],[Месяц]])</f>
        <v>0</v>
      </c>
      <c r="L658" s="1">
        <v>0</v>
      </c>
      <c r="M658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</v>
      </c>
      <c r="N658" t="s">
        <v>57</v>
      </c>
      <c r="O658">
        <v>6</v>
      </c>
      <c r="P658">
        <v>5</v>
      </c>
      <c r="Q658">
        <v>2</v>
      </c>
      <c r="R658" t="s">
        <v>344</v>
      </c>
      <c r="S658">
        <v>211</v>
      </c>
      <c r="T658">
        <v>80</v>
      </c>
      <c r="U658">
        <v>79</v>
      </c>
      <c r="V658">
        <v>2</v>
      </c>
      <c r="W658">
        <v>0</v>
      </c>
    </row>
    <row r="659" spans="1:23" x14ac:dyDescent="0.3">
      <c r="A659">
        <v>155437333</v>
      </c>
      <c r="B659" t="s">
        <v>341</v>
      </c>
      <c r="C659" t="s">
        <v>217</v>
      </c>
      <c r="D659" t="s">
        <v>84</v>
      </c>
      <c r="E659">
        <v>800</v>
      </c>
      <c r="F659" t="s">
        <v>358</v>
      </c>
      <c r="G659" t="s">
        <v>218</v>
      </c>
      <c r="H659" t="s">
        <v>319</v>
      </c>
      <c r="I659" s="1">
        <v>420000</v>
      </c>
      <c r="J659">
        <v>0</v>
      </c>
      <c r="K659" s="7">
        <f>Таблица1[[#This Row],[Штуки]]/SUMIFS(Таблица1[Штуки],Таблица1[Ветка],Таблица1[[#This Row],[Ветка]],Таблица1[Месяц],Таблица1[[#This Row],[Месяц]])</f>
        <v>0</v>
      </c>
      <c r="L659" s="1">
        <v>0</v>
      </c>
      <c r="M659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</v>
      </c>
      <c r="N659" t="s">
        <v>57</v>
      </c>
      <c r="O659">
        <v>1</v>
      </c>
      <c r="P659">
        <v>0</v>
      </c>
      <c r="Q659">
        <v>0</v>
      </c>
      <c r="R659" t="s">
        <v>342</v>
      </c>
      <c r="S659">
        <v>200</v>
      </c>
      <c r="T659">
        <v>85</v>
      </c>
      <c r="U659">
        <v>80</v>
      </c>
      <c r="V659">
        <v>6</v>
      </c>
      <c r="W659">
        <v>-26</v>
      </c>
    </row>
    <row r="660" spans="1:23" x14ac:dyDescent="0.3">
      <c r="A660">
        <v>159645113</v>
      </c>
      <c r="B660" t="s">
        <v>346</v>
      </c>
      <c r="C660" t="s">
        <v>248</v>
      </c>
      <c r="D660" t="s">
        <v>249</v>
      </c>
      <c r="E660">
        <v>1200</v>
      </c>
      <c r="F660" t="s">
        <v>362</v>
      </c>
      <c r="G660" t="s">
        <v>180</v>
      </c>
      <c r="H660" t="s">
        <v>319</v>
      </c>
      <c r="I660" s="1">
        <v>628990</v>
      </c>
      <c r="J660">
        <v>0</v>
      </c>
      <c r="K660" s="7">
        <f>Таблица1[[#This Row],[Штуки]]/SUMIFS(Таблица1[Штуки],Таблица1[Ветка],Таблица1[[#This Row],[Ветка]],Таблица1[Месяц],Таблица1[[#This Row],[Месяц]])</f>
        <v>0</v>
      </c>
      <c r="L660" s="1">
        <v>0</v>
      </c>
      <c r="M660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</v>
      </c>
      <c r="N660" t="s">
        <v>57</v>
      </c>
      <c r="O660">
        <v>1</v>
      </c>
      <c r="P660">
        <v>5</v>
      </c>
      <c r="Q660">
        <v>1</v>
      </c>
      <c r="R660" t="s">
        <v>344</v>
      </c>
      <c r="S660">
        <v>120</v>
      </c>
      <c r="T660">
        <v>196</v>
      </c>
      <c r="U660">
        <v>76</v>
      </c>
      <c r="V660">
        <v>0</v>
      </c>
      <c r="W660">
        <v>-15</v>
      </c>
    </row>
    <row r="661" spans="1:23" x14ac:dyDescent="0.3">
      <c r="A661">
        <v>104045575</v>
      </c>
      <c r="B661" t="s">
        <v>341</v>
      </c>
      <c r="C661" t="s">
        <v>201</v>
      </c>
      <c r="D661" t="s">
        <v>87</v>
      </c>
      <c r="E661">
        <v>999</v>
      </c>
      <c r="F661" t="s">
        <v>359</v>
      </c>
      <c r="G661" t="s">
        <v>179</v>
      </c>
      <c r="H661" t="s">
        <v>319</v>
      </c>
      <c r="I661" s="1">
        <v>950000</v>
      </c>
      <c r="J661">
        <v>0</v>
      </c>
      <c r="K661" s="7">
        <f>Таблица1[[#This Row],[Штуки]]/SUMIFS(Таблица1[Штуки],Таблица1[Ветка],Таблица1[[#This Row],[Ветка]],Таблица1[Месяц],Таблица1[[#This Row],[Месяц]])</f>
        <v>0</v>
      </c>
      <c r="L661" s="1">
        <v>0</v>
      </c>
      <c r="M661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</v>
      </c>
      <c r="N661" t="s">
        <v>57</v>
      </c>
      <c r="O661">
        <v>1</v>
      </c>
      <c r="P661">
        <v>4.7</v>
      </c>
      <c r="Q661">
        <v>7</v>
      </c>
      <c r="R661" t="s">
        <v>344</v>
      </c>
      <c r="S661">
        <v>250</v>
      </c>
      <c r="T661">
        <v>75</v>
      </c>
      <c r="U661">
        <v>87</v>
      </c>
      <c r="V661">
        <v>12</v>
      </c>
      <c r="W661">
        <v>-25</v>
      </c>
    </row>
    <row r="662" spans="1:23" x14ac:dyDescent="0.3">
      <c r="A662">
        <v>116443890</v>
      </c>
      <c r="B662" t="s">
        <v>346</v>
      </c>
      <c r="C662" t="s">
        <v>198</v>
      </c>
      <c r="D662" t="s">
        <v>77</v>
      </c>
      <c r="E662">
        <v>1200</v>
      </c>
      <c r="F662" t="s">
        <v>362</v>
      </c>
      <c r="G662" t="s">
        <v>179</v>
      </c>
      <c r="H662" t="s">
        <v>319</v>
      </c>
      <c r="I662" s="1">
        <v>955500</v>
      </c>
      <c r="J662">
        <v>0</v>
      </c>
      <c r="K662" s="7">
        <f>Таблица1[[#This Row],[Штуки]]/SUMIFS(Таблица1[Штуки],Таблица1[Ветка],Таблица1[[#This Row],[Ветка]],Таблица1[Месяц],Таблица1[[#This Row],[Месяц]])</f>
        <v>0</v>
      </c>
      <c r="L662" s="1">
        <v>0</v>
      </c>
      <c r="M662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</v>
      </c>
      <c r="N662" t="s">
        <v>57</v>
      </c>
      <c r="O662">
        <v>1</v>
      </c>
      <c r="P662">
        <v>0</v>
      </c>
      <c r="Q662">
        <v>0</v>
      </c>
      <c r="R662" t="s">
        <v>342</v>
      </c>
      <c r="S662">
        <v>140</v>
      </c>
      <c r="T662">
        <v>215</v>
      </c>
      <c r="U662">
        <v>70</v>
      </c>
      <c r="V662">
        <v>0</v>
      </c>
      <c r="W662">
        <v>-18</v>
      </c>
    </row>
    <row r="663" spans="1:23" x14ac:dyDescent="0.3">
      <c r="A663">
        <v>121623694</v>
      </c>
      <c r="B663" t="s">
        <v>341</v>
      </c>
      <c r="C663" t="s">
        <v>245</v>
      </c>
      <c r="D663" t="s">
        <v>81</v>
      </c>
      <c r="E663">
        <v>1300</v>
      </c>
      <c r="F663" t="s">
        <v>363</v>
      </c>
      <c r="G663" t="s">
        <v>188</v>
      </c>
      <c r="H663" t="s">
        <v>319</v>
      </c>
      <c r="I663" s="1">
        <v>809545</v>
      </c>
      <c r="J663">
        <v>0</v>
      </c>
      <c r="K663" s="7">
        <f>Таблица1[[#This Row],[Штуки]]/SUMIFS(Таблица1[Штуки],Таблица1[Ветка],Таблица1[[#This Row],[Ветка]],Таблица1[Месяц],Таблица1[[#This Row],[Месяц]])</f>
        <v>0</v>
      </c>
      <c r="L663" s="1">
        <v>0</v>
      </c>
      <c r="M663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</v>
      </c>
      <c r="N663" t="s">
        <v>57</v>
      </c>
      <c r="O663">
        <v>2</v>
      </c>
      <c r="P663">
        <v>0</v>
      </c>
      <c r="Q663">
        <v>0</v>
      </c>
      <c r="R663" t="s">
        <v>344</v>
      </c>
      <c r="S663">
        <v>250</v>
      </c>
      <c r="T663">
        <v>85</v>
      </c>
      <c r="U663">
        <v>96</v>
      </c>
      <c r="V663">
        <v>0</v>
      </c>
      <c r="W663">
        <v>-25</v>
      </c>
    </row>
    <row r="664" spans="1:23" x14ac:dyDescent="0.3">
      <c r="A664">
        <v>122619339</v>
      </c>
      <c r="B664" t="s">
        <v>341</v>
      </c>
      <c r="C664" t="s">
        <v>80</v>
      </c>
      <c r="D664" t="s">
        <v>81</v>
      </c>
      <c r="E664">
        <v>1300</v>
      </c>
      <c r="F664" t="s">
        <v>363</v>
      </c>
      <c r="G664" t="s">
        <v>82</v>
      </c>
      <c r="H664" t="s">
        <v>319</v>
      </c>
      <c r="I664" s="1">
        <v>995000</v>
      </c>
      <c r="J664">
        <v>0</v>
      </c>
      <c r="K664" s="7">
        <f>Таблица1[[#This Row],[Штуки]]/SUMIFS(Таблица1[Штуки],Таблица1[Ветка],Таблица1[[#This Row],[Ветка]],Таблица1[Месяц],Таблица1[[#This Row],[Месяц]])</f>
        <v>0</v>
      </c>
      <c r="L664" s="1">
        <v>0</v>
      </c>
      <c r="M664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</v>
      </c>
      <c r="N664" t="s">
        <v>57</v>
      </c>
      <c r="O664">
        <v>1</v>
      </c>
      <c r="P664">
        <v>5</v>
      </c>
      <c r="Q664">
        <v>1</v>
      </c>
      <c r="R664" t="s">
        <v>342</v>
      </c>
      <c r="S664">
        <v>275</v>
      </c>
      <c r="T664">
        <v>102</v>
      </c>
      <c r="U664">
        <v>104</v>
      </c>
      <c r="V664">
        <v>6</v>
      </c>
      <c r="W664">
        <v>-25</v>
      </c>
    </row>
    <row r="665" spans="1:23" x14ac:dyDescent="0.3">
      <c r="A665">
        <v>114109997</v>
      </c>
      <c r="B665" t="s">
        <v>343</v>
      </c>
      <c r="C665" t="s">
        <v>118</v>
      </c>
      <c r="D665" t="s">
        <v>87</v>
      </c>
      <c r="E665">
        <v>800</v>
      </c>
      <c r="F665" t="s">
        <v>358</v>
      </c>
      <c r="G665" t="s">
        <v>188</v>
      </c>
      <c r="H665" t="s">
        <v>319</v>
      </c>
      <c r="I665" s="1">
        <v>550000</v>
      </c>
      <c r="J665">
        <v>0</v>
      </c>
      <c r="K665" s="7">
        <f>Таблица1[[#This Row],[Штуки]]/SUMIFS(Таблица1[Штуки],Таблица1[Ветка],Таблица1[[#This Row],[Ветка]],Таблица1[Месяц],Таблица1[[#This Row],[Месяц]])</f>
        <v>0</v>
      </c>
      <c r="L665" s="1">
        <v>0</v>
      </c>
      <c r="M665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</v>
      </c>
      <c r="N665" t="s">
        <v>57</v>
      </c>
      <c r="O665">
        <v>1</v>
      </c>
      <c r="P665">
        <v>4.43</v>
      </c>
      <c r="Q665">
        <v>4</v>
      </c>
      <c r="R665" t="s">
        <v>344</v>
      </c>
      <c r="S665">
        <v>200</v>
      </c>
      <c r="T665">
        <v>84</v>
      </c>
      <c r="U665">
        <v>60</v>
      </c>
      <c r="V665">
        <v>8</v>
      </c>
      <c r="W665">
        <v>-22</v>
      </c>
    </row>
    <row r="666" spans="1:23" x14ac:dyDescent="0.3">
      <c r="A666">
        <v>138886748</v>
      </c>
      <c r="B666" t="s">
        <v>346</v>
      </c>
      <c r="C666" t="s">
        <v>124</v>
      </c>
      <c r="D666" t="s">
        <v>100</v>
      </c>
      <c r="E666">
        <v>600</v>
      </c>
      <c r="F666" t="s">
        <v>356</v>
      </c>
      <c r="G666" t="s">
        <v>101</v>
      </c>
      <c r="H666" t="s">
        <v>319</v>
      </c>
      <c r="I666" s="1">
        <v>406820</v>
      </c>
      <c r="J666">
        <v>0</v>
      </c>
      <c r="K666" s="7">
        <f>Таблица1[[#This Row],[Штуки]]/SUMIFS(Таблица1[Штуки],Таблица1[Ветка],Таблица1[[#This Row],[Ветка]],Таблица1[Месяц],Таблица1[[#This Row],[Месяц]])</f>
        <v>0</v>
      </c>
      <c r="L666" s="1">
        <v>0</v>
      </c>
      <c r="M666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</v>
      </c>
      <c r="N666" t="s">
        <v>96</v>
      </c>
      <c r="O666">
        <v>7</v>
      </c>
      <c r="P666">
        <v>5</v>
      </c>
      <c r="Q666">
        <v>4</v>
      </c>
      <c r="R666" t="s">
        <v>344</v>
      </c>
      <c r="S666">
        <v>60</v>
      </c>
      <c r="T666">
        <v>196</v>
      </c>
      <c r="U666">
        <v>76</v>
      </c>
      <c r="V666">
        <v>0</v>
      </c>
      <c r="W666">
        <v>-14</v>
      </c>
    </row>
    <row r="667" spans="1:23" x14ac:dyDescent="0.3">
      <c r="A667">
        <v>100619981</v>
      </c>
      <c r="B667" t="s">
        <v>341</v>
      </c>
      <c r="C667" t="s">
        <v>131</v>
      </c>
      <c r="D667" t="s">
        <v>87</v>
      </c>
      <c r="E667">
        <v>590</v>
      </c>
      <c r="F667" t="s">
        <v>355</v>
      </c>
      <c r="G667" t="s">
        <v>82</v>
      </c>
      <c r="H667" t="s">
        <v>319</v>
      </c>
      <c r="I667" s="1">
        <v>480000</v>
      </c>
      <c r="J667">
        <v>0</v>
      </c>
      <c r="K667" s="7">
        <f>Таблица1[[#This Row],[Штуки]]/SUMIFS(Таблица1[Штуки],Таблица1[Ветка],Таблица1[[#This Row],[Ветка]],Таблица1[Месяц],Таблица1[[#This Row],[Месяц]])</f>
        <v>0</v>
      </c>
      <c r="L667" s="1">
        <v>0</v>
      </c>
      <c r="M667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</v>
      </c>
      <c r="N667" t="s">
        <v>96</v>
      </c>
      <c r="O667">
        <v>1</v>
      </c>
      <c r="P667">
        <v>4.8499999999999996</v>
      </c>
      <c r="Q667">
        <v>42</v>
      </c>
      <c r="R667" t="s">
        <v>344</v>
      </c>
      <c r="S667">
        <v>181</v>
      </c>
      <c r="T667">
        <v>85</v>
      </c>
      <c r="U667">
        <v>60</v>
      </c>
      <c r="V667">
        <v>8</v>
      </c>
      <c r="W667">
        <v>-25</v>
      </c>
    </row>
    <row r="668" spans="1:23" x14ac:dyDescent="0.3">
      <c r="A668">
        <v>2800214</v>
      </c>
      <c r="B668" t="s">
        <v>343</v>
      </c>
      <c r="C668" t="s">
        <v>120</v>
      </c>
      <c r="D668" t="s">
        <v>87</v>
      </c>
      <c r="E668">
        <v>650</v>
      </c>
      <c r="F668" t="s">
        <v>356</v>
      </c>
      <c r="G668" t="s">
        <v>26</v>
      </c>
      <c r="H668" t="s">
        <v>319</v>
      </c>
      <c r="I668" s="1">
        <v>580000</v>
      </c>
      <c r="J668">
        <v>0</v>
      </c>
      <c r="K668" s="7">
        <f>Таблица1[[#This Row],[Штуки]]/SUMIFS(Таблица1[Штуки],Таблица1[Ветка],Таблица1[[#This Row],[Ветка]],Таблица1[Месяц],Таблица1[[#This Row],[Месяц]])</f>
        <v>0</v>
      </c>
      <c r="L668" s="1">
        <v>0</v>
      </c>
      <c r="M668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</v>
      </c>
      <c r="N668" t="s">
        <v>96</v>
      </c>
      <c r="O668">
        <v>1</v>
      </c>
      <c r="P668">
        <v>0</v>
      </c>
      <c r="Q668">
        <v>0</v>
      </c>
      <c r="R668" t="s">
        <v>344</v>
      </c>
      <c r="S668">
        <v>182</v>
      </c>
      <c r="T668">
        <v>92</v>
      </c>
      <c r="U668">
        <v>62</v>
      </c>
      <c r="V668">
        <v>4</v>
      </c>
      <c r="W668">
        <v>-22</v>
      </c>
    </row>
    <row r="669" spans="1:23" x14ac:dyDescent="0.3">
      <c r="A669">
        <v>153722102</v>
      </c>
      <c r="B669" t="s">
        <v>343</v>
      </c>
      <c r="C669" t="s">
        <v>243</v>
      </c>
      <c r="D669" t="s">
        <v>104</v>
      </c>
      <c r="E669">
        <v>700</v>
      </c>
      <c r="F669" t="s">
        <v>357</v>
      </c>
      <c r="G669" t="s">
        <v>180</v>
      </c>
      <c r="H669" t="s">
        <v>319</v>
      </c>
      <c r="I669" s="1">
        <v>296908</v>
      </c>
      <c r="J669">
        <v>0</v>
      </c>
      <c r="K669" s="7">
        <f>Таблица1[[#This Row],[Штуки]]/SUMIFS(Таблица1[Штуки],Таблица1[Ветка],Таблица1[[#This Row],[Ветка]],Таблица1[Месяц],Таблица1[[#This Row],[Месяц]])</f>
        <v>0</v>
      </c>
      <c r="L669" s="1">
        <v>0</v>
      </c>
      <c r="M669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</v>
      </c>
      <c r="N669" t="s">
        <v>57</v>
      </c>
      <c r="O669">
        <v>6</v>
      </c>
      <c r="P669">
        <v>5</v>
      </c>
      <c r="Q669">
        <v>1</v>
      </c>
      <c r="R669" t="s">
        <v>342</v>
      </c>
      <c r="S669">
        <v>193</v>
      </c>
      <c r="T669">
        <v>82.5</v>
      </c>
      <c r="U669">
        <v>71</v>
      </c>
      <c r="V669">
        <v>0</v>
      </c>
      <c r="W669">
        <v>0</v>
      </c>
    </row>
    <row r="670" spans="1:23" x14ac:dyDescent="0.3">
      <c r="A670">
        <v>121205888</v>
      </c>
      <c r="B670" t="s">
        <v>346</v>
      </c>
      <c r="C670" t="s">
        <v>129</v>
      </c>
      <c r="D670" t="s">
        <v>130</v>
      </c>
      <c r="E670">
        <v>800</v>
      </c>
      <c r="F670" t="s">
        <v>358</v>
      </c>
      <c r="G670" t="s">
        <v>185</v>
      </c>
      <c r="H670" t="s">
        <v>319</v>
      </c>
      <c r="I670" s="1">
        <v>391900</v>
      </c>
      <c r="J670">
        <v>0</v>
      </c>
      <c r="K670" s="7">
        <f>Таблица1[[#This Row],[Штуки]]/SUMIFS(Таблица1[Штуки],Таблица1[Ветка],Таблица1[[#This Row],[Ветка]],Таблица1[Месяц],Таблица1[[#This Row],[Месяц]])</f>
        <v>0</v>
      </c>
      <c r="L670" s="1">
        <v>0</v>
      </c>
      <c r="M670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</v>
      </c>
      <c r="N670" t="s">
        <v>57</v>
      </c>
      <c r="O670">
        <v>2</v>
      </c>
      <c r="P670">
        <v>5</v>
      </c>
      <c r="Q670">
        <v>2</v>
      </c>
      <c r="R670" t="s">
        <v>342</v>
      </c>
      <c r="S670">
        <v>60</v>
      </c>
      <c r="T670">
        <v>196</v>
      </c>
      <c r="U670">
        <v>76</v>
      </c>
      <c r="V670">
        <v>0</v>
      </c>
      <c r="W670">
        <v>-14</v>
      </c>
    </row>
    <row r="671" spans="1:23" x14ac:dyDescent="0.3">
      <c r="A671">
        <v>131172629</v>
      </c>
      <c r="B671" t="s">
        <v>341</v>
      </c>
      <c r="C671" t="s">
        <v>241</v>
      </c>
      <c r="D671" t="s">
        <v>133</v>
      </c>
      <c r="E671">
        <v>1000</v>
      </c>
      <c r="F671" t="s">
        <v>360</v>
      </c>
      <c r="G671" t="s">
        <v>242</v>
      </c>
      <c r="H671" t="s">
        <v>319</v>
      </c>
      <c r="I671" s="1">
        <v>649980</v>
      </c>
      <c r="J671">
        <v>0</v>
      </c>
      <c r="K671" s="7">
        <f>Таблица1[[#This Row],[Штуки]]/SUMIFS(Таблица1[Штуки],Таблица1[Ветка],Таблица1[[#This Row],[Ветка]],Таблица1[Месяц],Таблица1[[#This Row],[Месяц]])</f>
        <v>0</v>
      </c>
      <c r="L671" s="1">
        <v>0</v>
      </c>
      <c r="M671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</v>
      </c>
      <c r="N671" t="s">
        <v>57</v>
      </c>
      <c r="O671">
        <v>1</v>
      </c>
      <c r="P671">
        <v>5</v>
      </c>
      <c r="Q671">
        <v>1</v>
      </c>
      <c r="R671" t="s">
        <v>342</v>
      </c>
      <c r="S671">
        <v>250</v>
      </c>
      <c r="T671">
        <v>85</v>
      </c>
      <c r="U671">
        <v>85</v>
      </c>
      <c r="V671">
        <v>8</v>
      </c>
      <c r="W671">
        <v>-18</v>
      </c>
    </row>
    <row r="672" spans="1:23" x14ac:dyDescent="0.3">
      <c r="A672">
        <v>138886748</v>
      </c>
      <c r="B672" t="s">
        <v>346</v>
      </c>
      <c r="C672" t="s">
        <v>124</v>
      </c>
      <c r="D672" t="s">
        <v>100</v>
      </c>
      <c r="E672">
        <v>600</v>
      </c>
      <c r="F672" t="s">
        <v>356</v>
      </c>
      <c r="G672" t="s">
        <v>101</v>
      </c>
      <c r="H672" t="s">
        <v>319</v>
      </c>
      <c r="I672" s="1">
        <v>406820</v>
      </c>
      <c r="J672">
        <v>0</v>
      </c>
      <c r="K672" s="7">
        <f>Таблица1[[#This Row],[Штуки]]/SUMIFS(Таблица1[Штуки],Таблица1[Ветка],Таблица1[[#This Row],[Ветка]],Таблица1[Месяц],Таблица1[[#This Row],[Месяц]])</f>
        <v>0</v>
      </c>
      <c r="L672" s="1">
        <v>0</v>
      </c>
      <c r="M672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</v>
      </c>
      <c r="N672" t="s">
        <v>96</v>
      </c>
      <c r="O672">
        <v>7</v>
      </c>
      <c r="P672">
        <v>5</v>
      </c>
      <c r="Q672">
        <v>4</v>
      </c>
      <c r="R672" t="s">
        <v>344</v>
      </c>
      <c r="S672">
        <v>60</v>
      </c>
      <c r="T672">
        <v>196</v>
      </c>
      <c r="U672">
        <v>76</v>
      </c>
      <c r="V672">
        <v>0</v>
      </c>
      <c r="W672">
        <v>-14</v>
      </c>
    </row>
    <row r="673" spans="1:23" x14ac:dyDescent="0.3">
      <c r="A673">
        <v>110555381</v>
      </c>
      <c r="B673" t="s">
        <v>343</v>
      </c>
      <c r="C673" t="s">
        <v>127</v>
      </c>
      <c r="D673" t="s">
        <v>87</v>
      </c>
      <c r="E673">
        <v>700</v>
      </c>
      <c r="F673" t="s">
        <v>357</v>
      </c>
      <c r="G673" t="s">
        <v>88</v>
      </c>
      <c r="H673" t="s">
        <v>319</v>
      </c>
      <c r="I673" s="1">
        <v>480000</v>
      </c>
      <c r="J673">
        <v>0</v>
      </c>
      <c r="K673" s="7">
        <f>Таблица1[[#This Row],[Штуки]]/SUMIFS(Таблица1[Штуки],Таблица1[Ветка],Таблица1[[#This Row],[Ветка]],Таблица1[Месяц],Таблица1[[#This Row],[Месяц]])</f>
        <v>0</v>
      </c>
      <c r="L673" s="1">
        <v>0</v>
      </c>
      <c r="M673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</v>
      </c>
      <c r="N673" t="s">
        <v>96</v>
      </c>
      <c r="O673">
        <v>1</v>
      </c>
      <c r="P673">
        <v>4.8899999999999997</v>
      </c>
      <c r="Q673">
        <v>2</v>
      </c>
      <c r="R673" t="s">
        <v>344</v>
      </c>
      <c r="S673">
        <v>180</v>
      </c>
      <c r="T673">
        <v>84</v>
      </c>
      <c r="U673">
        <v>60</v>
      </c>
      <c r="V673">
        <v>3</v>
      </c>
      <c r="W673">
        <v>-22</v>
      </c>
    </row>
    <row r="674" spans="1:23" x14ac:dyDescent="0.3">
      <c r="A674">
        <v>155336923</v>
      </c>
      <c r="B674" t="s">
        <v>341</v>
      </c>
      <c r="C674" t="s">
        <v>271</v>
      </c>
      <c r="D674" t="s">
        <v>115</v>
      </c>
      <c r="E674">
        <v>900</v>
      </c>
      <c r="F674" t="s">
        <v>359</v>
      </c>
      <c r="G674" t="s">
        <v>183</v>
      </c>
      <c r="H674" t="s">
        <v>319</v>
      </c>
      <c r="I674" s="1">
        <v>450000</v>
      </c>
      <c r="J674">
        <v>0</v>
      </c>
      <c r="K674" s="7">
        <f>Таблица1[[#This Row],[Штуки]]/SUMIFS(Таблица1[Штуки],Таблица1[Ветка],Таблица1[[#This Row],[Ветка]],Таблица1[Месяц],Таблица1[[#This Row],[Месяц]])</f>
        <v>0</v>
      </c>
      <c r="L674" s="1">
        <v>0</v>
      </c>
      <c r="M674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</v>
      </c>
      <c r="N674" t="s">
        <v>96</v>
      </c>
      <c r="O674">
        <v>1</v>
      </c>
      <c r="P674">
        <v>0</v>
      </c>
      <c r="Q674">
        <v>0</v>
      </c>
      <c r="R674" t="s">
        <v>342</v>
      </c>
      <c r="S674">
        <v>200</v>
      </c>
      <c r="T674">
        <v>85</v>
      </c>
      <c r="U674">
        <v>88</v>
      </c>
      <c r="V674">
        <v>7</v>
      </c>
      <c r="W674">
        <v>-26</v>
      </c>
    </row>
    <row r="675" spans="1:23" x14ac:dyDescent="0.3">
      <c r="A675">
        <v>113187256</v>
      </c>
      <c r="B675" t="s">
        <v>341</v>
      </c>
      <c r="C675" t="s">
        <v>139</v>
      </c>
      <c r="D675" t="s">
        <v>87</v>
      </c>
      <c r="E675">
        <v>500</v>
      </c>
      <c r="F675" t="s">
        <v>355</v>
      </c>
      <c r="G675" t="s">
        <v>270</v>
      </c>
      <c r="H675" t="s">
        <v>319</v>
      </c>
      <c r="I675" s="1">
        <v>395000</v>
      </c>
      <c r="J675">
        <v>0</v>
      </c>
      <c r="K675" s="7">
        <f>Таблица1[[#This Row],[Штуки]]/SUMIFS(Таблица1[Штуки],Таблица1[Ветка],Таблица1[[#This Row],[Ветка]],Таблица1[Месяц],Таблица1[[#This Row],[Месяц]])</f>
        <v>0</v>
      </c>
      <c r="L675" s="1">
        <v>0</v>
      </c>
      <c r="M675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</v>
      </c>
      <c r="N675" t="s">
        <v>96</v>
      </c>
      <c r="O675">
        <v>1</v>
      </c>
      <c r="P675">
        <v>4.3</v>
      </c>
      <c r="Q675">
        <v>4</v>
      </c>
      <c r="R675" t="s">
        <v>344</v>
      </c>
      <c r="S675">
        <v>140</v>
      </c>
      <c r="T675">
        <v>84</v>
      </c>
      <c r="U675">
        <v>60</v>
      </c>
      <c r="V675">
        <v>5</v>
      </c>
      <c r="W675">
        <v>-22</v>
      </c>
    </row>
    <row r="676" spans="1:23" x14ac:dyDescent="0.3">
      <c r="A676">
        <v>100843154</v>
      </c>
      <c r="B676" t="s">
        <v>343</v>
      </c>
      <c r="C676" t="s">
        <v>269</v>
      </c>
      <c r="D676" t="s">
        <v>87</v>
      </c>
      <c r="E676">
        <v>600</v>
      </c>
      <c r="F676" t="s">
        <v>356</v>
      </c>
      <c r="G676" t="s">
        <v>179</v>
      </c>
      <c r="H676" t="s">
        <v>319</v>
      </c>
      <c r="I676" s="1">
        <v>440000</v>
      </c>
      <c r="J676">
        <v>0</v>
      </c>
      <c r="K676" s="7">
        <f>Таблица1[[#This Row],[Штуки]]/SUMIFS(Таблица1[Штуки],Таблица1[Ветка],Таблица1[[#This Row],[Ветка]],Таблица1[Месяц],Таблица1[[#This Row],[Месяц]])</f>
        <v>0</v>
      </c>
      <c r="L676" s="1">
        <v>0</v>
      </c>
      <c r="M676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</v>
      </c>
      <c r="N676" t="s">
        <v>96</v>
      </c>
      <c r="O676">
        <v>1</v>
      </c>
      <c r="P676">
        <v>4.4000000000000004</v>
      </c>
      <c r="Q676">
        <v>4</v>
      </c>
      <c r="R676" t="s">
        <v>345</v>
      </c>
      <c r="S676">
        <v>160</v>
      </c>
      <c r="T676">
        <v>82</v>
      </c>
      <c r="U676">
        <v>60</v>
      </c>
      <c r="V676">
        <v>0</v>
      </c>
      <c r="W676">
        <v>0</v>
      </c>
    </row>
    <row r="677" spans="1:23" x14ac:dyDescent="0.3">
      <c r="A677">
        <v>143838104</v>
      </c>
      <c r="B677" t="s">
        <v>341</v>
      </c>
      <c r="C677" t="s">
        <v>39</v>
      </c>
      <c r="D677" t="s">
        <v>35</v>
      </c>
      <c r="E677">
        <v>205</v>
      </c>
      <c r="F677" t="s">
        <v>352</v>
      </c>
      <c r="G677" t="s">
        <v>26</v>
      </c>
      <c r="H677" t="s">
        <v>319</v>
      </c>
      <c r="I677" s="1">
        <v>137400</v>
      </c>
      <c r="J677">
        <v>0</v>
      </c>
      <c r="K677" s="7">
        <f>Таблица1[[#This Row],[Штуки]]/SUMIFS(Таблица1[Штуки],Таблица1[Ветка],Таблица1[[#This Row],[Ветка]],Таблица1[Месяц],Таблица1[[#This Row],[Месяц]])</f>
        <v>0</v>
      </c>
      <c r="L677" s="1">
        <v>0</v>
      </c>
      <c r="M677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</v>
      </c>
      <c r="N677" t="s">
        <v>96</v>
      </c>
      <c r="O677">
        <v>1</v>
      </c>
      <c r="P677">
        <v>4.9000000000000004</v>
      </c>
      <c r="Q677">
        <v>22</v>
      </c>
      <c r="R677" t="s">
        <v>344</v>
      </c>
      <c r="S677">
        <v>100</v>
      </c>
      <c r="T677">
        <v>77</v>
      </c>
      <c r="U677">
        <v>50</v>
      </c>
      <c r="V677">
        <v>4</v>
      </c>
      <c r="W677">
        <v>-18</v>
      </c>
    </row>
    <row r="678" spans="1:23" x14ac:dyDescent="0.3">
      <c r="A678">
        <v>148880716</v>
      </c>
      <c r="B678" t="s">
        <v>341</v>
      </c>
      <c r="C678" t="s">
        <v>125</v>
      </c>
      <c r="D678" t="s">
        <v>84</v>
      </c>
      <c r="E678">
        <v>725</v>
      </c>
      <c r="F678" t="s">
        <v>357</v>
      </c>
      <c r="G678" t="s">
        <v>31</v>
      </c>
      <c r="H678" t="s">
        <v>319</v>
      </c>
      <c r="I678" s="1">
        <v>420000</v>
      </c>
      <c r="J678">
        <v>0</v>
      </c>
      <c r="K678" s="7">
        <f>Таблица1[[#This Row],[Штуки]]/SUMIFS(Таблица1[Штуки],Таблица1[Ветка],Таблица1[[#This Row],[Ветка]],Таблица1[Месяц],Таблица1[[#This Row],[Месяц]])</f>
        <v>0</v>
      </c>
      <c r="L678" s="1">
        <v>0</v>
      </c>
      <c r="M678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</v>
      </c>
      <c r="N678" t="s">
        <v>96</v>
      </c>
      <c r="O678">
        <v>1</v>
      </c>
      <c r="P678">
        <v>0</v>
      </c>
      <c r="Q678">
        <v>0</v>
      </c>
      <c r="R678" t="s">
        <v>342</v>
      </c>
      <c r="S678">
        <v>200</v>
      </c>
      <c r="T678">
        <v>85</v>
      </c>
      <c r="U678">
        <v>75</v>
      </c>
      <c r="V678">
        <v>6</v>
      </c>
      <c r="W678">
        <v>-22</v>
      </c>
    </row>
    <row r="679" spans="1:23" x14ac:dyDescent="0.3">
      <c r="A679">
        <v>147291509</v>
      </c>
      <c r="B679" t="s">
        <v>343</v>
      </c>
      <c r="C679" t="s">
        <v>250</v>
      </c>
      <c r="D679" t="s">
        <v>251</v>
      </c>
      <c r="E679">
        <v>708</v>
      </c>
      <c r="F679" t="s">
        <v>357</v>
      </c>
      <c r="G679" t="s">
        <v>179</v>
      </c>
      <c r="H679" t="s">
        <v>319</v>
      </c>
      <c r="I679" s="1">
        <v>361760</v>
      </c>
      <c r="J679">
        <v>0</v>
      </c>
      <c r="K679" s="7">
        <f>Таблица1[[#This Row],[Штуки]]/SUMIFS(Таблица1[Штуки],Таблица1[Ветка],Таблица1[[#This Row],[Ветка]],Таблица1[Месяц],Таблица1[[#This Row],[Месяц]])</f>
        <v>0</v>
      </c>
      <c r="L679" s="1">
        <v>0</v>
      </c>
      <c r="M679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</v>
      </c>
      <c r="N679" t="s">
        <v>57</v>
      </c>
      <c r="O679">
        <v>6</v>
      </c>
      <c r="P679">
        <v>5</v>
      </c>
      <c r="Q679">
        <v>2</v>
      </c>
      <c r="R679" t="s">
        <v>344</v>
      </c>
      <c r="S679">
        <v>211</v>
      </c>
      <c r="T679">
        <v>80</v>
      </c>
      <c r="U679">
        <v>79</v>
      </c>
      <c r="V679">
        <v>2</v>
      </c>
      <c r="W679">
        <v>0</v>
      </c>
    </row>
    <row r="680" spans="1:23" x14ac:dyDescent="0.3">
      <c r="A680">
        <v>155437333</v>
      </c>
      <c r="B680" t="s">
        <v>341</v>
      </c>
      <c r="C680" t="s">
        <v>217</v>
      </c>
      <c r="D680" t="s">
        <v>84</v>
      </c>
      <c r="E680">
        <v>800</v>
      </c>
      <c r="F680" t="s">
        <v>358</v>
      </c>
      <c r="G680" t="s">
        <v>218</v>
      </c>
      <c r="H680" t="s">
        <v>319</v>
      </c>
      <c r="I680" s="1">
        <v>420000</v>
      </c>
      <c r="J680">
        <v>0</v>
      </c>
      <c r="K680" s="7">
        <f>Таблица1[[#This Row],[Штуки]]/SUMIFS(Таблица1[Штуки],Таблица1[Ветка],Таблица1[[#This Row],[Ветка]],Таблица1[Месяц],Таблица1[[#This Row],[Месяц]])</f>
        <v>0</v>
      </c>
      <c r="L680" s="1">
        <v>0</v>
      </c>
      <c r="M680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</v>
      </c>
      <c r="N680" t="s">
        <v>57</v>
      </c>
      <c r="O680">
        <v>1</v>
      </c>
      <c r="P680">
        <v>0</v>
      </c>
      <c r="Q680">
        <v>0</v>
      </c>
      <c r="R680" t="s">
        <v>342</v>
      </c>
      <c r="S680">
        <v>200</v>
      </c>
      <c r="T680">
        <v>85</v>
      </c>
      <c r="U680">
        <v>80</v>
      </c>
      <c r="V680">
        <v>6</v>
      </c>
      <c r="W680">
        <v>-26</v>
      </c>
    </row>
    <row r="681" spans="1:23" x14ac:dyDescent="0.3">
      <c r="A681">
        <v>159645113</v>
      </c>
      <c r="B681" t="s">
        <v>346</v>
      </c>
      <c r="C681" t="s">
        <v>248</v>
      </c>
      <c r="D681" t="s">
        <v>249</v>
      </c>
      <c r="E681">
        <v>1200</v>
      </c>
      <c r="F681" t="s">
        <v>362</v>
      </c>
      <c r="G681" t="s">
        <v>180</v>
      </c>
      <c r="H681" t="s">
        <v>319</v>
      </c>
      <c r="I681" s="1">
        <v>628990</v>
      </c>
      <c r="J681">
        <v>0</v>
      </c>
      <c r="K681" s="7">
        <f>Таблица1[[#This Row],[Штуки]]/SUMIFS(Таблица1[Штуки],Таблица1[Ветка],Таблица1[[#This Row],[Ветка]],Таблица1[Месяц],Таблица1[[#This Row],[Месяц]])</f>
        <v>0</v>
      </c>
      <c r="L681" s="1">
        <v>0</v>
      </c>
      <c r="M681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</v>
      </c>
      <c r="N681" t="s">
        <v>57</v>
      </c>
      <c r="O681">
        <v>1</v>
      </c>
      <c r="P681">
        <v>5</v>
      </c>
      <c r="Q681">
        <v>1</v>
      </c>
      <c r="R681" t="s">
        <v>344</v>
      </c>
      <c r="S681">
        <v>120</v>
      </c>
      <c r="T681">
        <v>196</v>
      </c>
      <c r="U681">
        <v>76</v>
      </c>
      <c r="V681">
        <v>0</v>
      </c>
      <c r="W681">
        <v>-15</v>
      </c>
    </row>
    <row r="682" spans="1:23" x14ac:dyDescent="0.3">
      <c r="A682">
        <v>104045575</v>
      </c>
      <c r="B682" t="s">
        <v>341</v>
      </c>
      <c r="C682" t="s">
        <v>201</v>
      </c>
      <c r="D682" t="s">
        <v>87</v>
      </c>
      <c r="E682">
        <v>999</v>
      </c>
      <c r="F682" t="s">
        <v>359</v>
      </c>
      <c r="G682" t="s">
        <v>179</v>
      </c>
      <c r="H682" t="s">
        <v>319</v>
      </c>
      <c r="I682" s="1">
        <v>950000</v>
      </c>
      <c r="J682">
        <v>0</v>
      </c>
      <c r="K682" s="7">
        <f>Таблица1[[#This Row],[Штуки]]/SUMIFS(Таблица1[Штуки],Таблица1[Ветка],Таблица1[[#This Row],[Ветка]],Таблица1[Месяц],Таблица1[[#This Row],[Месяц]])</f>
        <v>0</v>
      </c>
      <c r="L682" s="1">
        <v>0</v>
      </c>
      <c r="M682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</v>
      </c>
      <c r="N682" t="s">
        <v>57</v>
      </c>
      <c r="O682">
        <v>1</v>
      </c>
      <c r="P682">
        <v>4.7</v>
      </c>
      <c r="Q682">
        <v>7</v>
      </c>
      <c r="R682" t="s">
        <v>344</v>
      </c>
      <c r="S682">
        <v>250</v>
      </c>
      <c r="T682">
        <v>75</v>
      </c>
      <c r="U682">
        <v>87</v>
      </c>
      <c r="V682">
        <v>12</v>
      </c>
      <c r="W682">
        <v>-25</v>
      </c>
    </row>
    <row r="683" spans="1:23" x14ac:dyDescent="0.3">
      <c r="A683">
        <v>114881099</v>
      </c>
      <c r="B683" t="s">
        <v>341</v>
      </c>
      <c r="C683" t="s">
        <v>150</v>
      </c>
      <c r="D683" t="s">
        <v>46</v>
      </c>
      <c r="E683">
        <v>331</v>
      </c>
      <c r="F683" t="s">
        <v>353</v>
      </c>
      <c r="G683" t="s">
        <v>26</v>
      </c>
      <c r="H683" t="s">
        <v>319</v>
      </c>
      <c r="I683" s="1">
        <v>405000</v>
      </c>
      <c r="J683">
        <v>0</v>
      </c>
      <c r="K683" s="7">
        <f>Таблица1[[#This Row],[Штуки]]/SUMIFS(Таблица1[Штуки],Таблица1[Ветка],Таблица1[[#This Row],[Ветка]],Таблица1[Месяц],Таблица1[[#This Row],[Месяц]])</f>
        <v>0</v>
      </c>
      <c r="L683" s="1">
        <v>0</v>
      </c>
      <c r="M683" s="7">
        <f>Таблица1[[#This Row],[Выручка]]/SUMIFS(Таблица1[[#All],[Выручка]],Таблица1[[#All],[Месяц]],Таблица1[[#This Row],[Месяц]],Таблица1[[#All],[Ветка]],Таблица1[[#This Row],[Ветка]])</f>
        <v>0</v>
      </c>
      <c r="N683" t="s">
        <v>96</v>
      </c>
      <c r="O683">
        <v>1</v>
      </c>
      <c r="P683">
        <v>0</v>
      </c>
      <c r="Q683">
        <v>0</v>
      </c>
      <c r="R683" t="s">
        <v>344</v>
      </c>
      <c r="S683">
        <v>107</v>
      </c>
      <c r="T683">
        <v>85</v>
      </c>
      <c r="U683">
        <v>65</v>
      </c>
      <c r="V683">
        <v>4</v>
      </c>
      <c r="W683">
        <v>-24</v>
      </c>
    </row>
  </sheetData>
  <pageMargins left="0.7" right="0.7" top="0.75" bottom="0.75" header="0.3" footer="0.3"/>
  <drawing r:id="rId3"/>
  <tableParts count="1">
    <tablePart r:id="rId4"/>
  </tableParts>
  <extLst>
    <ext xmlns:x14="http://schemas.microsoft.com/office/spreadsheetml/2009/9/main" uri="{A8765BA9-456A-4dab-B4F3-ACF838C121DE}">
      <x14:slicerList>
        <x14:slicer r:id="rId5"/>
      </x14:slicerList>
    </ext>
    <ext xmlns:x15="http://schemas.microsoft.com/office/spreadsheetml/2010/11/main" uri="{3A4CF648-6AED-40f4-86FF-DC5316D8AED3}">
      <x14:slicerList xmlns:x14="http://schemas.microsoft.com/office/spreadsheetml/2009/9/main">
        <x14:slicer r:id="rId6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8C995-9C08-4C05-948D-55AC19058D03}">
  <dimension ref="A1:H230"/>
  <sheetViews>
    <sheetView workbookViewId="0">
      <selection activeCell="C2" sqref="C2"/>
    </sheetView>
  </sheetViews>
  <sheetFormatPr defaultRowHeight="14.4" x14ac:dyDescent="0.3"/>
  <cols>
    <col min="1" max="1" width="12" customWidth="1"/>
    <col min="2" max="2" width="7.21875" customWidth="1"/>
    <col min="7" max="7" width="12.77734375" customWidth="1"/>
    <col min="8" max="8" width="11.77734375" customWidth="1"/>
  </cols>
  <sheetData>
    <row r="1" spans="1:8" x14ac:dyDescent="0.3">
      <c r="A1" t="s">
        <v>0</v>
      </c>
      <c r="B1" s="2" t="s">
        <v>1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</row>
    <row r="2" spans="1:8" x14ac:dyDescent="0.3">
      <c r="A2">
        <v>137444929</v>
      </c>
      <c r="B2" s="2" t="s">
        <v>341</v>
      </c>
      <c r="C2" t="s">
        <v>342</v>
      </c>
      <c r="D2">
        <v>250</v>
      </c>
      <c r="E2">
        <v>85</v>
      </c>
      <c r="F2" s="3">
        <v>76</v>
      </c>
      <c r="G2">
        <v>9</v>
      </c>
      <c r="H2">
        <v>-18</v>
      </c>
    </row>
    <row r="3" spans="1:8" x14ac:dyDescent="0.3">
      <c r="A3">
        <v>100018121</v>
      </c>
      <c r="B3" s="2" t="s">
        <v>343</v>
      </c>
      <c r="C3" t="s">
        <v>344</v>
      </c>
      <c r="D3">
        <v>203.5</v>
      </c>
      <c r="E3">
        <v>81</v>
      </c>
      <c r="F3" s="3">
        <v>66.5</v>
      </c>
      <c r="G3">
        <v>2</v>
      </c>
      <c r="H3">
        <v>-18</v>
      </c>
    </row>
    <row r="4" spans="1:8" x14ac:dyDescent="0.3">
      <c r="A4">
        <v>2800664</v>
      </c>
      <c r="B4" s="2" t="s">
        <v>343</v>
      </c>
      <c r="C4" t="s">
        <v>344</v>
      </c>
      <c r="D4">
        <v>179</v>
      </c>
      <c r="E4">
        <v>81</v>
      </c>
      <c r="F4">
        <v>66</v>
      </c>
      <c r="G4">
        <v>2</v>
      </c>
      <c r="H4">
        <v>-18</v>
      </c>
    </row>
    <row r="5" spans="1:8" x14ac:dyDescent="0.3">
      <c r="A5">
        <v>137444919</v>
      </c>
      <c r="B5" s="2" t="s">
        <v>341</v>
      </c>
      <c r="C5" t="s">
        <v>342</v>
      </c>
      <c r="D5">
        <v>200</v>
      </c>
      <c r="E5">
        <v>85</v>
      </c>
      <c r="F5">
        <v>76</v>
      </c>
      <c r="G5">
        <v>7</v>
      </c>
      <c r="H5">
        <v>-24</v>
      </c>
    </row>
    <row r="6" spans="1:8" x14ac:dyDescent="0.3">
      <c r="A6">
        <v>121978898</v>
      </c>
      <c r="B6" s="2" t="s">
        <v>341</v>
      </c>
      <c r="C6" t="s">
        <v>344</v>
      </c>
      <c r="D6">
        <v>200</v>
      </c>
      <c r="E6">
        <v>86</v>
      </c>
      <c r="F6">
        <v>75.7</v>
      </c>
      <c r="G6">
        <v>6</v>
      </c>
      <c r="H6">
        <v>-18</v>
      </c>
    </row>
    <row r="7" spans="1:8" x14ac:dyDescent="0.3">
      <c r="A7">
        <v>137446425</v>
      </c>
      <c r="B7" s="2" t="s">
        <v>341</v>
      </c>
      <c r="C7" t="s">
        <v>342</v>
      </c>
      <c r="D7">
        <v>150</v>
      </c>
      <c r="E7">
        <v>85</v>
      </c>
      <c r="F7">
        <v>76</v>
      </c>
      <c r="G7">
        <v>5</v>
      </c>
      <c r="H7">
        <v>-24</v>
      </c>
    </row>
    <row r="8" spans="1:8" x14ac:dyDescent="0.3">
      <c r="A8" s="4">
        <v>119264286</v>
      </c>
      <c r="B8" s="2" t="s">
        <v>341</v>
      </c>
      <c r="C8" t="s">
        <v>342</v>
      </c>
      <c r="D8">
        <v>110</v>
      </c>
      <c r="E8">
        <v>85</v>
      </c>
      <c r="F8">
        <v>60</v>
      </c>
      <c r="G8">
        <v>4</v>
      </c>
      <c r="H8">
        <v>-18</v>
      </c>
    </row>
    <row r="9" spans="1:8" x14ac:dyDescent="0.3">
      <c r="A9">
        <v>141507444</v>
      </c>
      <c r="B9" s="2" t="s">
        <v>341</v>
      </c>
      <c r="C9" t="s">
        <v>344</v>
      </c>
      <c r="D9">
        <v>129.4</v>
      </c>
      <c r="E9">
        <v>83</v>
      </c>
      <c r="F9">
        <v>59.8</v>
      </c>
      <c r="G9">
        <v>5</v>
      </c>
      <c r="H9">
        <v>-18</v>
      </c>
    </row>
    <row r="10" spans="1:8" x14ac:dyDescent="0.3">
      <c r="A10">
        <v>143838104</v>
      </c>
      <c r="B10" s="2" t="s">
        <v>341</v>
      </c>
      <c r="C10" t="s">
        <v>344</v>
      </c>
      <c r="D10">
        <v>100</v>
      </c>
      <c r="E10">
        <v>77</v>
      </c>
      <c r="F10">
        <v>50</v>
      </c>
      <c r="G10">
        <v>4</v>
      </c>
      <c r="H10">
        <v>-18</v>
      </c>
    </row>
    <row r="11" spans="1:8" x14ac:dyDescent="0.3">
      <c r="A11">
        <v>145109215</v>
      </c>
      <c r="B11" s="2" t="s">
        <v>341</v>
      </c>
      <c r="C11" t="s">
        <v>342</v>
      </c>
      <c r="D11">
        <v>250</v>
      </c>
      <c r="E11">
        <v>80</v>
      </c>
      <c r="F11">
        <v>76</v>
      </c>
      <c r="G11">
        <v>9</v>
      </c>
      <c r="H11">
        <v>-25</v>
      </c>
    </row>
    <row r="12" spans="1:8" x14ac:dyDescent="0.3">
      <c r="A12">
        <v>117503807</v>
      </c>
      <c r="B12" s="2" t="s">
        <v>341</v>
      </c>
      <c r="C12" s="5" t="s">
        <v>345</v>
      </c>
      <c r="D12">
        <v>200</v>
      </c>
      <c r="E12">
        <v>85</v>
      </c>
      <c r="F12">
        <v>75</v>
      </c>
      <c r="G12">
        <v>7</v>
      </c>
      <c r="H12">
        <v>-24</v>
      </c>
    </row>
    <row r="13" spans="1:8" x14ac:dyDescent="0.3">
      <c r="A13">
        <v>113954312</v>
      </c>
      <c r="B13" s="2" t="s">
        <v>343</v>
      </c>
      <c r="C13" t="s">
        <v>344</v>
      </c>
      <c r="D13">
        <v>165</v>
      </c>
      <c r="E13">
        <v>84.5</v>
      </c>
      <c r="F13">
        <v>74.5</v>
      </c>
      <c r="G13">
        <v>0</v>
      </c>
      <c r="H13">
        <v>-29</v>
      </c>
    </row>
    <row r="14" spans="1:8" x14ac:dyDescent="0.3">
      <c r="A14">
        <v>121978941</v>
      </c>
      <c r="B14" s="2" t="s">
        <v>341</v>
      </c>
      <c r="C14" t="s">
        <v>344</v>
      </c>
      <c r="D14">
        <v>109.5</v>
      </c>
      <c r="E14">
        <v>85</v>
      </c>
      <c r="F14">
        <v>60</v>
      </c>
      <c r="G14">
        <v>3</v>
      </c>
      <c r="H14">
        <v>-18</v>
      </c>
    </row>
    <row r="15" spans="1:8" x14ac:dyDescent="0.3">
      <c r="A15">
        <v>140611570</v>
      </c>
      <c r="B15" s="2" t="s">
        <v>343</v>
      </c>
      <c r="C15" t="s">
        <v>344</v>
      </c>
      <c r="D15">
        <v>315</v>
      </c>
      <c r="E15">
        <v>93</v>
      </c>
      <c r="F15">
        <v>89</v>
      </c>
      <c r="H15">
        <v>-18</v>
      </c>
    </row>
    <row r="16" spans="1:8" x14ac:dyDescent="0.3">
      <c r="A16">
        <v>140652811</v>
      </c>
      <c r="B16" s="2" t="s">
        <v>343</v>
      </c>
      <c r="C16" t="s">
        <v>344</v>
      </c>
      <c r="D16">
        <v>194.5</v>
      </c>
      <c r="E16">
        <v>88</v>
      </c>
      <c r="F16">
        <v>80</v>
      </c>
      <c r="G16">
        <v>2</v>
      </c>
      <c r="H16">
        <v>-18</v>
      </c>
    </row>
    <row r="17" spans="1:8" x14ac:dyDescent="0.3">
      <c r="A17" s="6">
        <v>114694121</v>
      </c>
      <c r="B17" s="2" t="s">
        <v>346</v>
      </c>
      <c r="C17" t="s">
        <v>344</v>
      </c>
      <c r="D17">
        <v>160</v>
      </c>
      <c r="E17">
        <v>198</v>
      </c>
      <c r="F17">
        <v>72.5</v>
      </c>
      <c r="H17">
        <v>-18</v>
      </c>
    </row>
    <row r="18" spans="1:8" x14ac:dyDescent="0.3">
      <c r="A18">
        <v>152415627</v>
      </c>
      <c r="B18" s="2" t="s">
        <v>341</v>
      </c>
      <c r="C18" t="s">
        <v>344</v>
      </c>
      <c r="D18">
        <v>252</v>
      </c>
      <c r="E18">
        <v>94</v>
      </c>
      <c r="F18">
        <v>95</v>
      </c>
      <c r="H18">
        <v>-24</v>
      </c>
    </row>
    <row r="19" spans="1:8" x14ac:dyDescent="0.3">
      <c r="A19">
        <v>121978807</v>
      </c>
      <c r="B19" s="2" t="s">
        <v>341</v>
      </c>
      <c r="C19" t="s">
        <v>344</v>
      </c>
      <c r="D19">
        <v>214.5</v>
      </c>
      <c r="E19">
        <v>86</v>
      </c>
      <c r="F19">
        <v>89</v>
      </c>
      <c r="G19">
        <v>6</v>
      </c>
      <c r="H19">
        <v>-18</v>
      </c>
    </row>
    <row r="20" spans="1:8" x14ac:dyDescent="0.3">
      <c r="A20">
        <v>141408862</v>
      </c>
      <c r="B20" s="2" t="s">
        <v>341</v>
      </c>
      <c r="C20" t="s">
        <v>344</v>
      </c>
      <c r="D20">
        <v>165</v>
      </c>
      <c r="E20">
        <v>86</v>
      </c>
      <c r="F20">
        <v>76</v>
      </c>
      <c r="G20">
        <v>5</v>
      </c>
      <c r="H20">
        <v>-18</v>
      </c>
    </row>
    <row r="21" spans="1:8" x14ac:dyDescent="0.3">
      <c r="A21">
        <v>117232021</v>
      </c>
      <c r="B21" s="2" t="s">
        <v>341</v>
      </c>
      <c r="C21" t="s">
        <v>344</v>
      </c>
      <c r="D21">
        <v>88</v>
      </c>
      <c r="E21">
        <v>88.5</v>
      </c>
      <c r="F21">
        <v>66.5</v>
      </c>
      <c r="G21">
        <v>3</v>
      </c>
      <c r="H21">
        <v>-25</v>
      </c>
    </row>
    <row r="22" spans="1:8" x14ac:dyDescent="0.3">
      <c r="A22" s="6">
        <v>102055246</v>
      </c>
      <c r="B22" s="2" t="s">
        <v>346</v>
      </c>
      <c r="C22" t="s">
        <v>344</v>
      </c>
      <c r="D22">
        <v>73</v>
      </c>
      <c r="E22">
        <v>199</v>
      </c>
      <c r="F22">
        <v>96</v>
      </c>
      <c r="H22">
        <v>-18</v>
      </c>
    </row>
    <row r="23" spans="1:8" x14ac:dyDescent="0.3">
      <c r="A23">
        <v>121978911</v>
      </c>
      <c r="B23" s="2" t="s">
        <v>341</v>
      </c>
      <c r="C23" t="s">
        <v>344</v>
      </c>
      <c r="D23">
        <v>147.5</v>
      </c>
      <c r="E23">
        <v>86</v>
      </c>
      <c r="F23">
        <v>75.7</v>
      </c>
      <c r="G23">
        <v>4</v>
      </c>
      <c r="H23">
        <v>-18</v>
      </c>
    </row>
    <row r="24" spans="1:8" x14ac:dyDescent="0.3">
      <c r="A24">
        <v>132088486</v>
      </c>
      <c r="B24" s="2" t="s">
        <v>341</v>
      </c>
      <c r="C24" t="s">
        <v>344</v>
      </c>
      <c r="D24">
        <v>202.5</v>
      </c>
      <c r="E24">
        <v>88.5</v>
      </c>
      <c r="F24">
        <v>66.5</v>
      </c>
      <c r="G24">
        <v>6</v>
      </c>
      <c r="H24">
        <v>-25</v>
      </c>
    </row>
    <row r="25" spans="1:8" x14ac:dyDescent="0.3">
      <c r="A25">
        <v>119264288</v>
      </c>
      <c r="B25" s="2" t="s">
        <v>341</v>
      </c>
      <c r="C25" t="s">
        <v>342</v>
      </c>
      <c r="D25">
        <v>50</v>
      </c>
      <c r="E25">
        <v>80</v>
      </c>
      <c r="F25">
        <v>80</v>
      </c>
      <c r="G25">
        <v>3</v>
      </c>
    </row>
    <row r="26" spans="1:8" x14ac:dyDescent="0.3">
      <c r="A26">
        <v>140053241</v>
      </c>
      <c r="B26" s="2" t="s">
        <v>341</v>
      </c>
      <c r="C26" t="s">
        <v>344</v>
      </c>
      <c r="D26">
        <v>166</v>
      </c>
      <c r="E26">
        <v>83</v>
      </c>
      <c r="F26">
        <v>69</v>
      </c>
      <c r="G26">
        <v>6</v>
      </c>
      <c r="H26">
        <v>-18</v>
      </c>
    </row>
    <row r="27" spans="1:8" x14ac:dyDescent="0.3">
      <c r="A27">
        <v>136188264</v>
      </c>
      <c r="B27" s="2" t="s">
        <v>341</v>
      </c>
      <c r="C27" t="s">
        <v>344</v>
      </c>
      <c r="D27">
        <v>144</v>
      </c>
      <c r="E27">
        <v>84.1</v>
      </c>
      <c r="F27">
        <v>66</v>
      </c>
      <c r="G27">
        <v>4</v>
      </c>
      <c r="H27">
        <v>-18</v>
      </c>
    </row>
    <row r="28" spans="1:8" x14ac:dyDescent="0.3">
      <c r="A28">
        <v>121586076</v>
      </c>
      <c r="B28" s="2" t="s">
        <v>343</v>
      </c>
      <c r="C28" t="s">
        <v>342</v>
      </c>
      <c r="D28">
        <v>165</v>
      </c>
      <c r="E28">
        <v>84</v>
      </c>
      <c r="F28">
        <v>77</v>
      </c>
      <c r="H28">
        <v>-18</v>
      </c>
    </row>
    <row r="29" spans="1:8" x14ac:dyDescent="0.3">
      <c r="A29">
        <v>121978926</v>
      </c>
      <c r="B29" s="2" t="s">
        <v>341</v>
      </c>
      <c r="C29" t="s">
        <v>344</v>
      </c>
      <c r="D29">
        <v>124</v>
      </c>
      <c r="E29">
        <v>82.6</v>
      </c>
      <c r="F29">
        <v>69.3</v>
      </c>
      <c r="G29">
        <v>4</v>
      </c>
      <c r="H29">
        <v>-18</v>
      </c>
    </row>
    <row r="30" spans="1:8" x14ac:dyDescent="0.3">
      <c r="A30">
        <v>148808069</v>
      </c>
      <c r="B30" s="2" t="s">
        <v>341</v>
      </c>
      <c r="C30" t="s">
        <v>342</v>
      </c>
      <c r="D30">
        <v>139.30000000000001</v>
      </c>
      <c r="E30">
        <v>89</v>
      </c>
      <c r="F30">
        <v>77.599999999999994</v>
      </c>
      <c r="G30">
        <v>6</v>
      </c>
    </row>
    <row r="31" spans="1:8" x14ac:dyDescent="0.3">
      <c r="A31">
        <v>116903955</v>
      </c>
      <c r="B31" s="2" t="s">
        <v>343</v>
      </c>
      <c r="C31" t="s">
        <v>342</v>
      </c>
      <c r="D31">
        <v>188</v>
      </c>
      <c r="E31">
        <v>95.2</v>
      </c>
      <c r="F31">
        <v>73.5</v>
      </c>
      <c r="G31">
        <v>1</v>
      </c>
      <c r="H31">
        <v>-18</v>
      </c>
    </row>
    <row r="32" spans="1:8" x14ac:dyDescent="0.3">
      <c r="A32" s="6">
        <v>116443884</v>
      </c>
      <c r="B32" s="2" t="s">
        <v>346</v>
      </c>
      <c r="C32" t="s">
        <v>342</v>
      </c>
      <c r="D32">
        <v>140</v>
      </c>
      <c r="E32">
        <v>215</v>
      </c>
      <c r="F32">
        <v>70</v>
      </c>
      <c r="H32">
        <v>-18</v>
      </c>
    </row>
    <row r="33" spans="1:8" x14ac:dyDescent="0.3">
      <c r="A33">
        <v>120309401</v>
      </c>
      <c r="B33" s="2" t="s">
        <v>343</v>
      </c>
      <c r="C33" t="s">
        <v>344</v>
      </c>
      <c r="D33">
        <v>165</v>
      </c>
      <c r="E33">
        <v>83.5</v>
      </c>
      <c r="F33">
        <v>73</v>
      </c>
      <c r="G33">
        <v>2</v>
      </c>
      <c r="H33">
        <v>-18</v>
      </c>
    </row>
    <row r="34" spans="1:8" x14ac:dyDescent="0.3">
      <c r="A34">
        <v>122619339</v>
      </c>
      <c r="B34" s="2" t="s">
        <v>341</v>
      </c>
      <c r="C34" t="s">
        <v>342</v>
      </c>
      <c r="D34">
        <v>275</v>
      </c>
      <c r="E34">
        <v>102</v>
      </c>
      <c r="F34">
        <v>104</v>
      </c>
      <c r="G34">
        <v>6</v>
      </c>
      <c r="H34">
        <v>-25</v>
      </c>
    </row>
    <row r="35" spans="1:8" x14ac:dyDescent="0.3">
      <c r="A35">
        <v>148461790</v>
      </c>
      <c r="B35" s="2" t="s">
        <v>341</v>
      </c>
      <c r="C35" t="s">
        <v>342</v>
      </c>
      <c r="D35">
        <v>180</v>
      </c>
      <c r="E35">
        <v>85</v>
      </c>
      <c r="F35">
        <v>77</v>
      </c>
      <c r="G35">
        <v>6</v>
      </c>
      <c r="H35">
        <v>-22</v>
      </c>
    </row>
    <row r="36" spans="1:8" x14ac:dyDescent="0.3">
      <c r="A36">
        <v>137444909</v>
      </c>
      <c r="B36" s="2" t="s">
        <v>341</v>
      </c>
      <c r="C36" t="s">
        <v>342</v>
      </c>
      <c r="D36">
        <v>150</v>
      </c>
      <c r="E36">
        <v>85</v>
      </c>
      <c r="F36">
        <v>76</v>
      </c>
      <c r="G36">
        <v>5</v>
      </c>
      <c r="H36">
        <v>-24</v>
      </c>
    </row>
    <row r="37" spans="1:8" x14ac:dyDescent="0.3">
      <c r="A37">
        <v>110555379</v>
      </c>
      <c r="B37" s="2" t="s">
        <v>341</v>
      </c>
      <c r="C37" t="s">
        <v>344</v>
      </c>
      <c r="D37">
        <v>200</v>
      </c>
      <c r="E37">
        <v>84</v>
      </c>
      <c r="F37">
        <v>60</v>
      </c>
      <c r="G37">
        <v>9</v>
      </c>
      <c r="H37">
        <v>-22</v>
      </c>
    </row>
    <row r="38" spans="1:8" x14ac:dyDescent="0.3">
      <c r="A38">
        <v>114880698</v>
      </c>
      <c r="B38" s="2" t="s">
        <v>341</v>
      </c>
      <c r="C38" t="s">
        <v>345</v>
      </c>
      <c r="D38">
        <v>250</v>
      </c>
      <c r="E38">
        <v>81</v>
      </c>
      <c r="F38">
        <v>85.5</v>
      </c>
      <c r="G38">
        <v>7</v>
      </c>
      <c r="H38">
        <v>-24</v>
      </c>
    </row>
    <row r="39" spans="1:8" x14ac:dyDescent="0.3">
      <c r="A39">
        <v>153608532</v>
      </c>
      <c r="B39" s="2" t="s">
        <v>343</v>
      </c>
      <c r="C39" t="s">
        <v>342</v>
      </c>
      <c r="D39">
        <v>180</v>
      </c>
      <c r="E39">
        <v>80.599999999999994</v>
      </c>
      <c r="F39">
        <v>71</v>
      </c>
      <c r="H39">
        <v>-18</v>
      </c>
    </row>
    <row r="40" spans="1:8" x14ac:dyDescent="0.3">
      <c r="A40">
        <v>100620910</v>
      </c>
      <c r="B40" s="2" t="s">
        <v>343</v>
      </c>
      <c r="C40" t="s">
        <v>344</v>
      </c>
      <c r="D40">
        <v>160</v>
      </c>
      <c r="E40">
        <v>82.7</v>
      </c>
      <c r="F40">
        <v>76</v>
      </c>
      <c r="G40">
        <v>2</v>
      </c>
      <c r="H40">
        <v>-18</v>
      </c>
    </row>
    <row r="41" spans="1:8" x14ac:dyDescent="0.3">
      <c r="A41">
        <v>139085554</v>
      </c>
      <c r="B41" s="2" t="s">
        <v>341</v>
      </c>
      <c r="C41" t="s">
        <v>344</v>
      </c>
      <c r="D41">
        <v>125</v>
      </c>
      <c r="E41">
        <v>91</v>
      </c>
      <c r="F41">
        <v>62</v>
      </c>
      <c r="G41">
        <v>3</v>
      </c>
      <c r="H41">
        <v>-18</v>
      </c>
    </row>
    <row r="42" spans="1:8" x14ac:dyDescent="0.3">
      <c r="A42" s="6">
        <v>107031735</v>
      </c>
      <c r="B42" s="2" t="s">
        <v>346</v>
      </c>
      <c r="C42" t="s">
        <v>345</v>
      </c>
      <c r="D42">
        <v>70</v>
      </c>
      <c r="E42">
        <v>200</v>
      </c>
      <c r="F42">
        <v>80</v>
      </c>
      <c r="H42">
        <v>-18</v>
      </c>
    </row>
    <row r="43" spans="1:8" x14ac:dyDescent="0.3">
      <c r="A43">
        <v>121978785</v>
      </c>
      <c r="B43" s="2" t="s">
        <v>341</v>
      </c>
      <c r="C43" t="s">
        <v>344</v>
      </c>
      <c r="D43">
        <v>254.5</v>
      </c>
      <c r="E43">
        <v>86</v>
      </c>
      <c r="F43">
        <v>89</v>
      </c>
      <c r="G43">
        <v>5</v>
      </c>
    </row>
    <row r="44" spans="1:8" x14ac:dyDescent="0.3">
      <c r="A44">
        <v>134730774</v>
      </c>
      <c r="B44" s="2" t="s">
        <v>341</v>
      </c>
      <c r="C44" t="s">
        <v>344</v>
      </c>
      <c r="D44">
        <v>210</v>
      </c>
      <c r="E44">
        <v>85</v>
      </c>
      <c r="F44">
        <v>87</v>
      </c>
      <c r="G44">
        <v>4</v>
      </c>
      <c r="H44">
        <v>-22</v>
      </c>
    </row>
    <row r="45" spans="1:8" x14ac:dyDescent="0.3">
      <c r="A45" s="6">
        <v>138886743</v>
      </c>
      <c r="B45" s="2" t="s">
        <v>346</v>
      </c>
      <c r="C45" t="s">
        <v>342</v>
      </c>
      <c r="D45">
        <v>120</v>
      </c>
      <c r="E45">
        <v>196</v>
      </c>
      <c r="F45">
        <v>76</v>
      </c>
      <c r="H45">
        <v>-14</v>
      </c>
    </row>
    <row r="46" spans="1:8" x14ac:dyDescent="0.3">
      <c r="A46">
        <v>118087013</v>
      </c>
      <c r="B46" s="2" t="s">
        <v>341</v>
      </c>
      <c r="C46" t="s">
        <v>344</v>
      </c>
      <c r="D46">
        <v>155.5</v>
      </c>
      <c r="E46">
        <v>88.5</v>
      </c>
      <c r="F46">
        <v>66.5</v>
      </c>
      <c r="G46">
        <v>6</v>
      </c>
      <c r="H46">
        <v>-25</v>
      </c>
    </row>
    <row r="47" spans="1:8" x14ac:dyDescent="0.3">
      <c r="A47">
        <v>131142601</v>
      </c>
      <c r="B47" s="2" t="s">
        <v>343</v>
      </c>
      <c r="C47" t="s">
        <v>344</v>
      </c>
      <c r="D47">
        <v>193</v>
      </c>
      <c r="E47">
        <v>82.5</v>
      </c>
      <c r="F47">
        <v>71</v>
      </c>
      <c r="H47">
        <v>-18</v>
      </c>
    </row>
    <row r="48" spans="1:8" x14ac:dyDescent="0.3">
      <c r="A48">
        <v>140611569</v>
      </c>
      <c r="B48" s="2" t="s">
        <v>343</v>
      </c>
      <c r="C48" t="s">
        <v>344</v>
      </c>
      <c r="D48">
        <v>260</v>
      </c>
      <c r="E48">
        <v>93</v>
      </c>
      <c r="F48">
        <v>89</v>
      </c>
      <c r="H48">
        <v>-18</v>
      </c>
    </row>
    <row r="49" spans="1:8" x14ac:dyDescent="0.3">
      <c r="A49">
        <v>141167073</v>
      </c>
      <c r="B49" s="2" t="s">
        <v>343</v>
      </c>
      <c r="C49" t="s">
        <v>344</v>
      </c>
      <c r="D49">
        <v>155</v>
      </c>
      <c r="E49">
        <v>89</v>
      </c>
      <c r="F49">
        <v>77</v>
      </c>
      <c r="G49">
        <v>4</v>
      </c>
    </row>
    <row r="50" spans="1:8" x14ac:dyDescent="0.3">
      <c r="A50" s="6">
        <v>110833716</v>
      </c>
      <c r="B50" s="2" t="s">
        <v>346</v>
      </c>
      <c r="C50" t="s">
        <v>344</v>
      </c>
      <c r="D50">
        <v>69.7</v>
      </c>
      <c r="E50">
        <v>196</v>
      </c>
      <c r="F50">
        <v>69.5</v>
      </c>
      <c r="H50">
        <v>-18</v>
      </c>
    </row>
    <row r="51" spans="1:8" x14ac:dyDescent="0.3">
      <c r="A51">
        <v>117946838</v>
      </c>
      <c r="B51" s="2" t="s">
        <v>341</v>
      </c>
      <c r="C51" t="s">
        <v>344</v>
      </c>
      <c r="D51">
        <v>200</v>
      </c>
      <c r="E51">
        <v>85</v>
      </c>
      <c r="F51">
        <v>86</v>
      </c>
      <c r="G51">
        <v>4</v>
      </c>
    </row>
    <row r="52" spans="1:8" x14ac:dyDescent="0.3">
      <c r="A52">
        <v>148881342</v>
      </c>
      <c r="B52" s="2" t="s">
        <v>341</v>
      </c>
      <c r="C52" t="s">
        <v>342</v>
      </c>
      <c r="D52">
        <v>250</v>
      </c>
      <c r="E52">
        <v>84</v>
      </c>
      <c r="F52">
        <v>75</v>
      </c>
      <c r="G52">
        <v>9</v>
      </c>
      <c r="H52">
        <v>-22</v>
      </c>
    </row>
    <row r="53" spans="1:8" x14ac:dyDescent="0.3">
      <c r="A53">
        <v>117503828</v>
      </c>
      <c r="B53" s="2" t="s">
        <v>341</v>
      </c>
      <c r="C53" t="s">
        <v>345</v>
      </c>
      <c r="D53">
        <v>200</v>
      </c>
      <c r="E53">
        <v>85</v>
      </c>
      <c r="F53">
        <v>75</v>
      </c>
      <c r="G53">
        <v>9</v>
      </c>
      <c r="H53">
        <v>-18</v>
      </c>
    </row>
    <row r="54" spans="1:8" x14ac:dyDescent="0.3">
      <c r="A54" s="6">
        <v>114858756</v>
      </c>
      <c r="B54" s="2" t="s">
        <v>346</v>
      </c>
      <c r="C54" t="s">
        <v>344</v>
      </c>
      <c r="D54">
        <v>59.5</v>
      </c>
      <c r="E54">
        <v>82</v>
      </c>
      <c r="F54">
        <v>54.5</v>
      </c>
      <c r="H54">
        <v>-24</v>
      </c>
    </row>
    <row r="55" spans="1:8" x14ac:dyDescent="0.3">
      <c r="A55">
        <v>117232074</v>
      </c>
      <c r="B55" s="2" t="s">
        <v>341</v>
      </c>
      <c r="C55" t="s">
        <v>344</v>
      </c>
      <c r="D55">
        <v>132</v>
      </c>
      <c r="E55">
        <v>88.5</v>
      </c>
      <c r="F55">
        <v>66.5</v>
      </c>
      <c r="G55">
        <v>5</v>
      </c>
      <c r="H55">
        <v>-25</v>
      </c>
    </row>
    <row r="56" spans="1:8" x14ac:dyDescent="0.3">
      <c r="A56">
        <v>142526767</v>
      </c>
      <c r="B56" s="2" t="s">
        <v>341</v>
      </c>
      <c r="C56" t="s">
        <v>342</v>
      </c>
      <c r="D56">
        <v>200</v>
      </c>
      <c r="E56">
        <v>88</v>
      </c>
      <c r="F56">
        <v>82</v>
      </c>
      <c r="G56">
        <v>6</v>
      </c>
      <c r="H56">
        <v>-20</v>
      </c>
    </row>
    <row r="57" spans="1:8" x14ac:dyDescent="0.3">
      <c r="A57">
        <v>145145986</v>
      </c>
      <c r="B57" s="2" t="s">
        <v>343</v>
      </c>
      <c r="C57" t="s">
        <v>344</v>
      </c>
      <c r="D57">
        <v>260</v>
      </c>
      <c r="E57">
        <v>93.5</v>
      </c>
      <c r="F57">
        <v>100</v>
      </c>
      <c r="G57">
        <v>1</v>
      </c>
      <c r="H57">
        <v>-35</v>
      </c>
    </row>
    <row r="58" spans="1:8" x14ac:dyDescent="0.3">
      <c r="A58">
        <v>114109997</v>
      </c>
      <c r="B58" s="2" t="s">
        <v>343</v>
      </c>
      <c r="C58" t="s">
        <v>344</v>
      </c>
      <c r="D58">
        <v>200</v>
      </c>
      <c r="E58">
        <v>84</v>
      </c>
      <c r="F58">
        <v>60</v>
      </c>
      <c r="G58">
        <v>8</v>
      </c>
      <c r="H58">
        <v>-22</v>
      </c>
    </row>
    <row r="59" spans="1:8" x14ac:dyDescent="0.3">
      <c r="A59">
        <v>141583649</v>
      </c>
      <c r="B59" s="2" t="s">
        <v>343</v>
      </c>
      <c r="C59" t="s">
        <v>344</v>
      </c>
      <c r="D59">
        <v>160</v>
      </c>
      <c r="E59">
        <v>84</v>
      </c>
      <c r="F59">
        <v>67.400000000000006</v>
      </c>
      <c r="G59">
        <v>2</v>
      </c>
      <c r="H59">
        <v>-24</v>
      </c>
    </row>
    <row r="60" spans="1:8" x14ac:dyDescent="0.3">
      <c r="A60">
        <v>2800214</v>
      </c>
      <c r="B60" s="2" t="s">
        <v>343</v>
      </c>
      <c r="C60" t="s">
        <v>344</v>
      </c>
      <c r="D60">
        <v>182</v>
      </c>
      <c r="E60">
        <v>92</v>
      </c>
      <c r="F60">
        <v>62</v>
      </c>
      <c r="G60">
        <v>4</v>
      </c>
      <c r="H60">
        <v>-22</v>
      </c>
    </row>
    <row r="61" spans="1:8" x14ac:dyDescent="0.3">
      <c r="A61">
        <v>132115831</v>
      </c>
      <c r="B61" s="2" t="s">
        <v>341</v>
      </c>
      <c r="C61" t="s">
        <v>344</v>
      </c>
      <c r="D61">
        <v>129</v>
      </c>
      <c r="E61">
        <v>84.1</v>
      </c>
      <c r="F61">
        <v>66</v>
      </c>
      <c r="G61">
        <v>4</v>
      </c>
      <c r="H61">
        <v>-18</v>
      </c>
    </row>
    <row r="62" spans="1:8" x14ac:dyDescent="0.3">
      <c r="A62">
        <v>132777674</v>
      </c>
      <c r="B62" s="2" t="s">
        <v>341</v>
      </c>
      <c r="C62" t="s">
        <v>342</v>
      </c>
      <c r="D62">
        <v>182</v>
      </c>
      <c r="E62">
        <v>82.2</v>
      </c>
      <c r="F62">
        <v>82.2</v>
      </c>
      <c r="G62">
        <v>6</v>
      </c>
      <c r="H62">
        <v>-25</v>
      </c>
    </row>
    <row r="63" spans="1:8" x14ac:dyDescent="0.3">
      <c r="A63">
        <v>148807914</v>
      </c>
      <c r="B63" s="2" t="s">
        <v>341</v>
      </c>
      <c r="C63" t="s">
        <v>342</v>
      </c>
      <c r="D63">
        <v>130</v>
      </c>
      <c r="E63">
        <v>89</v>
      </c>
      <c r="F63">
        <v>73.599999999999994</v>
      </c>
      <c r="G63">
        <v>5</v>
      </c>
    </row>
    <row r="64" spans="1:8" x14ac:dyDescent="0.3">
      <c r="A64" s="6">
        <v>138886748</v>
      </c>
      <c r="B64" s="2" t="s">
        <v>346</v>
      </c>
      <c r="C64" t="s">
        <v>344</v>
      </c>
      <c r="D64">
        <v>60</v>
      </c>
      <c r="E64">
        <v>196</v>
      </c>
      <c r="F64">
        <v>76</v>
      </c>
      <c r="H64">
        <v>-14</v>
      </c>
    </row>
    <row r="65" spans="1:8" x14ac:dyDescent="0.3">
      <c r="A65">
        <v>148880716</v>
      </c>
      <c r="B65" s="2" t="s">
        <v>341</v>
      </c>
      <c r="C65" t="s">
        <v>342</v>
      </c>
      <c r="D65">
        <v>200</v>
      </c>
      <c r="E65">
        <v>85</v>
      </c>
      <c r="F65">
        <v>75</v>
      </c>
      <c r="G65">
        <v>6</v>
      </c>
      <c r="H65">
        <v>-22</v>
      </c>
    </row>
    <row r="66" spans="1:8" x14ac:dyDescent="0.3">
      <c r="A66">
        <v>137868518</v>
      </c>
      <c r="B66" s="2" t="s">
        <v>341</v>
      </c>
      <c r="C66" t="s">
        <v>344</v>
      </c>
      <c r="D66">
        <v>100</v>
      </c>
      <c r="E66">
        <v>90</v>
      </c>
      <c r="F66">
        <v>64</v>
      </c>
      <c r="G66">
        <v>3</v>
      </c>
      <c r="H66">
        <v>-18</v>
      </c>
    </row>
    <row r="67" spans="1:8" x14ac:dyDescent="0.3">
      <c r="A67">
        <v>110555381</v>
      </c>
      <c r="B67" s="2" t="s">
        <v>343</v>
      </c>
      <c r="C67" t="s">
        <v>344</v>
      </c>
      <c r="D67">
        <v>180</v>
      </c>
      <c r="E67">
        <v>84</v>
      </c>
      <c r="F67">
        <v>60</v>
      </c>
      <c r="G67">
        <v>3</v>
      </c>
      <c r="H67">
        <v>-22</v>
      </c>
    </row>
    <row r="68" spans="1:8" x14ac:dyDescent="0.3">
      <c r="A68">
        <v>142526631</v>
      </c>
      <c r="B68" s="2" t="s">
        <v>341</v>
      </c>
      <c r="C68" t="s">
        <v>342</v>
      </c>
      <c r="D68">
        <v>200</v>
      </c>
      <c r="E68">
        <v>80</v>
      </c>
      <c r="F68">
        <v>76</v>
      </c>
      <c r="G68">
        <v>7</v>
      </c>
      <c r="H68">
        <v>-24</v>
      </c>
    </row>
    <row r="69" spans="1:8" x14ac:dyDescent="0.3">
      <c r="A69" s="6">
        <v>121205888</v>
      </c>
      <c r="B69" s="2" t="s">
        <v>346</v>
      </c>
      <c r="C69" t="s">
        <v>342</v>
      </c>
      <c r="D69">
        <v>60</v>
      </c>
      <c r="E69">
        <v>196</v>
      </c>
      <c r="F69">
        <v>76</v>
      </c>
      <c r="H69">
        <v>-14</v>
      </c>
    </row>
    <row r="70" spans="1:8" x14ac:dyDescent="0.3">
      <c r="A70">
        <v>100619981</v>
      </c>
      <c r="B70" s="2" t="s">
        <v>341</v>
      </c>
      <c r="C70" t="s">
        <v>344</v>
      </c>
      <c r="D70">
        <v>181</v>
      </c>
      <c r="E70">
        <v>85</v>
      </c>
      <c r="F70">
        <v>60</v>
      </c>
      <c r="G70">
        <v>8</v>
      </c>
      <c r="H70">
        <v>-25</v>
      </c>
    </row>
    <row r="71" spans="1:8" x14ac:dyDescent="0.3">
      <c r="A71">
        <v>130917146</v>
      </c>
      <c r="B71" s="2" t="s">
        <v>341</v>
      </c>
      <c r="C71" t="s">
        <v>342</v>
      </c>
      <c r="D71">
        <v>150</v>
      </c>
      <c r="E71">
        <v>86</v>
      </c>
      <c r="F71">
        <v>76</v>
      </c>
      <c r="G71">
        <v>5</v>
      </c>
      <c r="H71">
        <v>-18</v>
      </c>
    </row>
    <row r="72" spans="1:8" x14ac:dyDescent="0.3">
      <c r="A72">
        <v>154652597</v>
      </c>
      <c r="B72" s="2" t="s">
        <v>341</v>
      </c>
      <c r="C72" t="s">
        <v>344</v>
      </c>
      <c r="D72">
        <v>200</v>
      </c>
      <c r="E72">
        <v>85</v>
      </c>
      <c r="F72">
        <v>75</v>
      </c>
      <c r="G72">
        <v>6</v>
      </c>
      <c r="H72">
        <v>-20</v>
      </c>
    </row>
    <row r="73" spans="1:8" x14ac:dyDescent="0.3">
      <c r="A73">
        <v>122064634</v>
      </c>
      <c r="B73" s="2" t="s">
        <v>341</v>
      </c>
      <c r="C73" t="s">
        <v>345</v>
      </c>
      <c r="D73">
        <v>127</v>
      </c>
      <c r="E73">
        <v>83</v>
      </c>
      <c r="F73">
        <v>60</v>
      </c>
      <c r="G73">
        <v>5</v>
      </c>
      <c r="H73">
        <v>-18</v>
      </c>
    </row>
    <row r="74" spans="1:8" x14ac:dyDescent="0.3">
      <c r="A74">
        <v>143852360</v>
      </c>
      <c r="B74" s="2" t="s">
        <v>341</v>
      </c>
      <c r="C74" t="s">
        <v>344</v>
      </c>
      <c r="D74">
        <v>58</v>
      </c>
      <c r="E74">
        <v>78</v>
      </c>
      <c r="F74">
        <v>63</v>
      </c>
      <c r="G74">
        <v>2</v>
      </c>
      <c r="H74">
        <v>-18</v>
      </c>
    </row>
    <row r="75" spans="1:8" x14ac:dyDescent="0.3">
      <c r="A75">
        <v>146322919</v>
      </c>
      <c r="B75" s="2" t="s">
        <v>341</v>
      </c>
      <c r="C75" t="s">
        <v>342</v>
      </c>
      <c r="D75">
        <v>200</v>
      </c>
      <c r="E75">
        <v>88</v>
      </c>
      <c r="F75">
        <v>82</v>
      </c>
      <c r="G75">
        <v>6</v>
      </c>
      <c r="H75">
        <v>-20</v>
      </c>
    </row>
    <row r="76" spans="1:8" x14ac:dyDescent="0.3">
      <c r="A76">
        <v>113187256</v>
      </c>
      <c r="B76" s="2" t="s">
        <v>341</v>
      </c>
      <c r="C76" t="s">
        <v>344</v>
      </c>
      <c r="D76">
        <v>140</v>
      </c>
      <c r="E76">
        <v>84</v>
      </c>
      <c r="F76">
        <v>60</v>
      </c>
      <c r="G76">
        <v>5</v>
      </c>
      <c r="H76">
        <v>-22</v>
      </c>
    </row>
    <row r="77" spans="1:8" x14ac:dyDescent="0.3">
      <c r="A77">
        <v>100620922</v>
      </c>
      <c r="B77" s="2" t="s">
        <v>343</v>
      </c>
      <c r="C77" t="s">
        <v>344</v>
      </c>
      <c r="D77">
        <v>180</v>
      </c>
      <c r="E77">
        <v>82.7</v>
      </c>
      <c r="F77">
        <v>76</v>
      </c>
      <c r="H77">
        <v>-18</v>
      </c>
    </row>
    <row r="78" spans="1:8" x14ac:dyDescent="0.3">
      <c r="A78">
        <v>119264283</v>
      </c>
      <c r="B78" s="2" t="s">
        <v>341</v>
      </c>
      <c r="C78" t="s">
        <v>344</v>
      </c>
      <c r="D78">
        <v>60</v>
      </c>
      <c r="E78">
        <v>80</v>
      </c>
      <c r="F78">
        <v>55</v>
      </c>
      <c r="G78">
        <v>1</v>
      </c>
      <c r="H78">
        <v>-18</v>
      </c>
    </row>
    <row r="79" spans="1:8" x14ac:dyDescent="0.3">
      <c r="A79">
        <v>141583677</v>
      </c>
      <c r="B79" s="2" t="s">
        <v>343</v>
      </c>
      <c r="C79" t="s">
        <v>344</v>
      </c>
      <c r="D79">
        <v>180</v>
      </c>
      <c r="E79">
        <v>84</v>
      </c>
      <c r="F79">
        <v>67.400000000000006</v>
      </c>
      <c r="G79">
        <v>2</v>
      </c>
      <c r="H79">
        <v>-24</v>
      </c>
    </row>
    <row r="80" spans="1:8" x14ac:dyDescent="0.3">
      <c r="A80">
        <v>106253836</v>
      </c>
      <c r="B80" s="2" t="s">
        <v>341</v>
      </c>
      <c r="C80" t="s">
        <v>345</v>
      </c>
      <c r="D80">
        <v>141</v>
      </c>
      <c r="E80">
        <v>85</v>
      </c>
      <c r="F80">
        <v>60</v>
      </c>
      <c r="G80">
        <v>7</v>
      </c>
    </row>
    <row r="81" spans="1:8" x14ac:dyDescent="0.3">
      <c r="A81" s="6">
        <v>103923411</v>
      </c>
      <c r="B81" s="2" t="s">
        <v>346</v>
      </c>
      <c r="C81" t="s">
        <v>344</v>
      </c>
      <c r="D81">
        <v>59.5</v>
      </c>
      <c r="E81">
        <v>81.8</v>
      </c>
      <c r="F81">
        <v>54.5</v>
      </c>
      <c r="H81">
        <v>-24</v>
      </c>
    </row>
    <row r="82" spans="1:8" x14ac:dyDescent="0.3">
      <c r="A82">
        <v>145169183</v>
      </c>
      <c r="B82" s="2" t="s">
        <v>343</v>
      </c>
      <c r="C82" t="s">
        <v>344</v>
      </c>
      <c r="D82">
        <v>203</v>
      </c>
      <c r="E82">
        <v>91</v>
      </c>
      <c r="F82">
        <v>76</v>
      </c>
      <c r="G82">
        <v>3</v>
      </c>
      <c r="H82">
        <v>-18</v>
      </c>
    </row>
    <row r="83" spans="1:8" x14ac:dyDescent="0.3">
      <c r="A83">
        <v>116988507</v>
      </c>
      <c r="B83" s="2" t="s">
        <v>343</v>
      </c>
      <c r="C83" t="s">
        <v>344</v>
      </c>
      <c r="D83">
        <v>164</v>
      </c>
      <c r="E83">
        <v>84.5</v>
      </c>
      <c r="F83">
        <v>74.5</v>
      </c>
      <c r="H83">
        <v>-29</v>
      </c>
    </row>
    <row r="84" spans="1:8" x14ac:dyDescent="0.3">
      <c r="A84">
        <v>114881099</v>
      </c>
      <c r="B84" s="2" t="s">
        <v>341</v>
      </c>
      <c r="C84" t="s">
        <v>344</v>
      </c>
      <c r="D84">
        <v>107</v>
      </c>
      <c r="E84">
        <v>85</v>
      </c>
      <c r="F84">
        <v>65</v>
      </c>
      <c r="G84">
        <v>4</v>
      </c>
      <c r="H84">
        <v>-24</v>
      </c>
    </row>
    <row r="85" spans="1:8" x14ac:dyDescent="0.3">
      <c r="A85">
        <v>140081934</v>
      </c>
      <c r="B85" s="2" t="s">
        <v>341</v>
      </c>
      <c r="C85" t="s">
        <v>344</v>
      </c>
      <c r="D85">
        <v>153</v>
      </c>
      <c r="E85">
        <v>85</v>
      </c>
      <c r="F85">
        <v>68</v>
      </c>
      <c r="G85">
        <v>5</v>
      </c>
      <c r="H85">
        <v>-18</v>
      </c>
    </row>
    <row r="86" spans="1:8" x14ac:dyDescent="0.3">
      <c r="A86">
        <v>114860975</v>
      </c>
      <c r="B86" s="2" t="s">
        <v>341</v>
      </c>
      <c r="C86" t="s">
        <v>344</v>
      </c>
      <c r="D86">
        <v>155</v>
      </c>
      <c r="E86">
        <v>84.5</v>
      </c>
      <c r="F86">
        <v>65</v>
      </c>
      <c r="G86">
        <v>4</v>
      </c>
      <c r="H86">
        <v>-24</v>
      </c>
    </row>
    <row r="87" spans="1:8" x14ac:dyDescent="0.3">
      <c r="A87">
        <v>106696255</v>
      </c>
      <c r="B87" s="2" t="s">
        <v>341</v>
      </c>
      <c r="C87" t="s">
        <v>344</v>
      </c>
      <c r="D87">
        <v>147.5</v>
      </c>
      <c r="E87">
        <v>85.8</v>
      </c>
      <c r="F87">
        <v>75.7</v>
      </c>
      <c r="G87">
        <v>5</v>
      </c>
      <c r="H87">
        <v>-20</v>
      </c>
    </row>
    <row r="88" spans="1:8" x14ac:dyDescent="0.3">
      <c r="A88">
        <v>148982330</v>
      </c>
      <c r="B88" s="2" t="s">
        <v>341</v>
      </c>
      <c r="C88" t="s">
        <v>344</v>
      </c>
      <c r="D88">
        <v>107.5</v>
      </c>
      <c r="E88">
        <v>81.8</v>
      </c>
      <c r="F88">
        <v>65</v>
      </c>
      <c r="G88">
        <v>4</v>
      </c>
      <c r="H88">
        <v>-24</v>
      </c>
    </row>
    <row r="89" spans="1:8" x14ac:dyDescent="0.3">
      <c r="A89">
        <v>116214532</v>
      </c>
      <c r="B89" s="2" t="s">
        <v>343</v>
      </c>
      <c r="C89" t="s">
        <v>344</v>
      </c>
      <c r="D89">
        <v>153</v>
      </c>
      <c r="E89">
        <v>88</v>
      </c>
      <c r="F89">
        <v>67</v>
      </c>
      <c r="G89">
        <v>1</v>
      </c>
      <c r="H89">
        <v>-24</v>
      </c>
    </row>
    <row r="90" spans="1:8" x14ac:dyDescent="0.3">
      <c r="A90">
        <v>104775274</v>
      </c>
      <c r="B90" s="2" t="s">
        <v>343</v>
      </c>
      <c r="C90" t="s">
        <v>344</v>
      </c>
      <c r="D90">
        <v>153</v>
      </c>
      <c r="E90">
        <v>80</v>
      </c>
      <c r="F90">
        <v>75</v>
      </c>
      <c r="H90">
        <v>-24</v>
      </c>
    </row>
    <row r="91" spans="1:8" x14ac:dyDescent="0.3">
      <c r="A91">
        <v>154154972</v>
      </c>
      <c r="B91" s="2" t="s">
        <v>341</v>
      </c>
      <c r="C91" t="s">
        <v>344</v>
      </c>
      <c r="D91">
        <v>147</v>
      </c>
      <c r="E91">
        <v>85</v>
      </c>
      <c r="F91">
        <v>75</v>
      </c>
      <c r="G91">
        <v>5</v>
      </c>
      <c r="H91">
        <v>-18</v>
      </c>
    </row>
    <row r="92" spans="1:8" x14ac:dyDescent="0.3">
      <c r="A92">
        <v>145856193</v>
      </c>
      <c r="B92" s="2" t="s">
        <v>343</v>
      </c>
      <c r="C92" t="s">
        <v>342</v>
      </c>
      <c r="D92">
        <v>153</v>
      </c>
      <c r="E92">
        <v>85</v>
      </c>
      <c r="F92">
        <v>75</v>
      </c>
    </row>
    <row r="93" spans="1:8" x14ac:dyDescent="0.3">
      <c r="A93">
        <v>103353026</v>
      </c>
      <c r="B93" s="2" t="s">
        <v>343</v>
      </c>
      <c r="C93" t="s">
        <v>344</v>
      </c>
      <c r="D93">
        <v>157</v>
      </c>
      <c r="E93">
        <v>86</v>
      </c>
      <c r="F93">
        <v>80</v>
      </c>
      <c r="G93">
        <v>1</v>
      </c>
      <c r="H93">
        <v>-18</v>
      </c>
    </row>
    <row r="94" spans="1:8" x14ac:dyDescent="0.3">
      <c r="A94">
        <v>153721974</v>
      </c>
      <c r="B94" s="2" t="s">
        <v>343</v>
      </c>
      <c r="C94" t="s">
        <v>342</v>
      </c>
      <c r="D94">
        <v>168.5</v>
      </c>
      <c r="E94">
        <v>82.5</v>
      </c>
      <c r="F94">
        <v>71</v>
      </c>
      <c r="H94">
        <v>-18</v>
      </c>
    </row>
    <row r="95" spans="1:8" x14ac:dyDescent="0.3">
      <c r="A95">
        <v>117689613</v>
      </c>
      <c r="B95" s="2" t="s">
        <v>341</v>
      </c>
      <c r="C95" t="s">
        <v>344</v>
      </c>
      <c r="D95">
        <v>108.5</v>
      </c>
      <c r="E95">
        <v>88.5</v>
      </c>
      <c r="F95">
        <v>66.5</v>
      </c>
      <c r="G95">
        <v>4</v>
      </c>
      <c r="H95">
        <v>-25</v>
      </c>
    </row>
    <row r="96" spans="1:8" x14ac:dyDescent="0.3">
      <c r="A96">
        <v>116138932</v>
      </c>
      <c r="B96" s="2" t="s">
        <v>341</v>
      </c>
      <c r="C96" t="s">
        <v>344</v>
      </c>
      <c r="D96">
        <v>130</v>
      </c>
      <c r="E96">
        <v>85</v>
      </c>
      <c r="F96">
        <v>65</v>
      </c>
      <c r="G96">
        <v>5</v>
      </c>
      <c r="H96">
        <v>-24</v>
      </c>
    </row>
    <row r="97" spans="1:8" x14ac:dyDescent="0.3">
      <c r="A97">
        <v>140308862</v>
      </c>
      <c r="B97" s="2" t="s">
        <v>341</v>
      </c>
      <c r="C97" t="s">
        <v>342</v>
      </c>
      <c r="D97">
        <v>131</v>
      </c>
      <c r="E97">
        <v>83</v>
      </c>
      <c r="F97">
        <v>69</v>
      </c>
      <c r="G97">
        <v>6</v>
      </c>
      <c r="H97">
        <v>-18</v>
      </c>
    </row>
    <row r="98" spans="1:8" x14ac:dyDescent="0.3">
      <c r="A98">
        <v>123748471</v>
      </c>
      <c r="B98" s="2" t="s">
        <v>341</v>
      </c>
      <c r="C98" t="s">
        <v>344</v>
      </c>
      <c r="D98">
        <v>66</v>
      </c>
      <c r="E98">
        <v>82</v>
      </c>
      <c r="F98">
        <v>48</v>
      </c>
      <c r="G98">
        <v>2</v>
      </c>
      <c r="H98">
        <v>-18</v>
      </c>
    </row>
    <row r="99" spans="1:8" x14ac:dyDescent="0.3">
      <c r="A99">
        <v>121279939</v>
      </c>
      <c r="B99" s="2" t="s">
        <v>341</v>
      </c>
      <c r="C99" t="s">
        <v>344</v>
      </c>
      <c r="D99">
        <v>66</v>
      </c>
      <c r="E99">
        <v>81</v>
      </c>
      <c r="F99">
        <v>48</v>
      </c>
      <c r="G99">
        <v>2</v>
      </c>
      <c r="H99">
        <v>-18</v>
      </c>
    </row>
    <row r="100" spans="1:8" x14ac:dyDescent="0.3">
      <c r="A100">
        <v>154507359</v>
      </c>
      <c r="B100" s="2" t="s">
        <v>343</v>
      </c>
      <c r="C100" t="s">
        <v>344</v>
      </c>
      <c r="D100">
        <v>153</v>
      </c>
      <c r="E100">
        <v>88</v>
      </c>
      <c r="F100">
        <v>67</v>
      </c>
      <c r="G100">
        <v>1</v>
      </c>
      <c r="H100">
        <v>-24</v>
      </c>
    </row>
    <row r="101" spans="1:8" x14ac:dyDescent="0.3">
      <c r="A101">
        <v>153336154</v>
      </c>
      <c r="B101" s="2" t="s">
        <v>343</v>
      </c>
      <c r="C101" t="s">
        <v>342</v>
      </c>
      <c r="D101">
        <v>153.5</v>
      </c>
      <c r="E101">
        <v>82.5</v>
      </c>
      <c r="F101">
        <v>74</v>
      </c>
      <c r="H101">
        <v>-18</v>
      </c>
    </row>
    <row r="102" spans="1:8" x14ac:dyDescent="0.3">
      <c r="A102">
        <v>121279875</v>
      </c>
      <c r="B102" s="2" t="s">
        <v>341</v>
      </c>
      <c r="C102" t="s">
        <v>345</v>
      </c>
      <c r="D102">
        <v>121</v>
      </c>
      <c r="E102">
        <v>80</v>
      </c>
      <c r="F102">
        <v>60</v>
      </c>
      <c r="G102">
        <v>1</v>
      </c>
      <c r="H102">
        <v>-18</v>
      </c>
    </row>
    <row r="103" spans="1:8" x14ac:dyDescent="0.3">
      <c r="A103">
        <v>117729101</v>
      </c>
      <c r="B103" s="2" t="s">
        <v>341</v>
      </c>
      <c r="C103" t="s">
        <v>342</v>
      </c>
      <c r="D103">
        <v>122</v>
      </c>
      <c r="E103">
        <v>90</v>
      </c>
      <c r="F103">
        <v>70</v>
      </c>
      <c r="G103">
        <v>4</v>
      </c>
      <c r="H103">
        <v>-18</v>
      </c>
    </row>
    <row r="104" spans="1:8" x14ac:dyDescent="0.3">
      <c r="A104">
        <v>121428413</v>
      </c>
      <c r="B104" s="2" t="s">
        <v>341</v>
      </c>
      <c r="C104" t="s">
        <v>344</v>
      </c>
      <c r="D104">
        <v>130</v>
      </c>
      <c r="E104">
        <v>85</v>
      </c>
      <c r="F104">
        <v>60</v>
      </c>
      <c r="G104">
        <v>5</v>
      </c>
      <c r="H104">
        <v>-15</v>
      </c>
    </row>
    <row r="105" spans="1:8" x14ac:dyDescent="0.3">
      <c r="A105">
        <v>148807910</v>
      </c>
      <c r="B105" s="2" t="s">
        <v>341</v>
      </c>
      <c r="C105" t="s">
        <v>342</v>
      </c>
      <c r="D105">
        <v>106.5</v>
      </c>
      <c r="E105">
        <v>89.6</v>
      </c>
      <c r="F105">
        <v>73.599999999999994</v>
      </c>
      <c r="G105">
        <v>3</v>
      </c>
    </row>
    <row r="106" spans="1:8" x14ac:dyDescent="0.3">
      <c r="A106">
        <v>120039135</v>
      </c>
      <c r="B106" s="2" t="s">
        <v>341</v>
      </c>
      <c r="C106" t="s">
        <v>342</v>
      </c>
      <c r="D106">
        <v>69</v>
      </c>
      <c r="E106">
        <v>90</v>
      </c>
      <c r="F106">
        <v>102</v>
      </c>
      <c r="G106">
        <v>4</v>
      </c>
      <c r="H106">
        <v>-24</v>
      </c>
    </row>
    <row r="107" spans="1:8" x14ac:dyDescent="0.3">
      <c r="A107" s="6">
        <v>124103248</v>
      </c>
      <c r="B107" s="2" t="s">
        <v>346</v>
      </c>
      <c r="C107" t="s">
        <v>344</v>
      </c>
      <c r="D107">
        <v>120</v>
      </c>
      <c r="E107">
        <v>210</v>
      </c>
      <c r="F107">
        <v>70</v>
      </c>
      <c r="H107">
        <v>-18</v>
      </c>
    </row>
    <row r="108" spans="1:8" x14ac:dyDescent="0.3">
      <c r="A108">
        <v>157671625</v>
      </c>
      <c r="B108" s="2" t="s">
        <v>341</v>
      </c>
      <c r="C108" t="s">
        <v>344</v>
      </c>
      <c r="D108">
        <v>150</v>
      </c>
      <c r="E108">
        <v>85</v>
      </c>
      <c r="F108">
        <v>70</v>
      </c>
      <c r="G108">
        <v>7</v>
      </c>
      <c r="H108">
        <v>-20</v>
      </c>
    </row>
    <row r="109" spans="1:8" x14ac:dyDescent="0.3">
      <c r="A109">
        <v>122652103</v>
      </c>
      <c r="B109" s="2" t="s">
        <v>343</v>
      </c>
      <c r="C109" t="s">
        <v>344</v>
      </c>
      <c r="D109">
        <v>265</v>
      </c>
      <c r="E109">
        <v>90</v>
      </c>
      <c r="F109">
        <v>110</v>
      </c>
      <c r="G109">
        <v>2</v>
      </c>
      <c r="H109">
        <v>-18</v>
      </c>
    </row>
    <row r="110" spans="1:8" x14ac:dyDescent="0.3">
      <c r="A110">
        <v>108699680</v>
      </c>
      <c r="B110" s="2" t="s">
        <v>343</v>
      </c>
      <c r="C110" t="s">
        <v>344</v>
      </c>
      <c r="D110">
        <v>201</v>
      </c>
      <c r="E110">
        <v>78</v>
      </c>
      <c r="F110">
        <v>85</v>
      </c>
      <c r="G110">
        <v>1</v>
      </c>
    </row>
    <row r="111" spans="1:8" x14ac:dyDescent="0.3">
      <c r="A111">
        <v>142956771</v>
      </c>
      <c r="B111" s="2" t="s">
        <v>343</v>
      </c>
      <c r="C111" t="s">
        <v>342</v>
      </c>
      <c r="D111">
        <v>197</v>
      </c>
      <c r="E111">
        <v>86.4</v>
      </c>
      <c r="F111">
        <v>93.5</v>
      </c>
      <c r="H111">
        <v>-35</v>
      </c>
    </row>
    <row r="112" spans="1:8" x14ac:dyDescent="0.3">
      <c r="A112">
        <v>113072746</v>
      </c>
      <c r="B112" s="2" t="s">
        <v>341</v>
      </c>
      <c r="C112" t="s">
        <v>344</v>
      </c>
      <c r="D112">
        <v>180</v>
      </c>
      <c r="E112">
        <v>84</v>
      </c>
      <c r="F112">
        <v>60</v>
      </c>
      <c r="G112">
        <v>6</v>
      </c>
      <c r="H112">
        <v>-22</v>
      </c>
    </row>
    <row r="113" spans="1:8" x14ac:dyDescent="0.3">
      <c r="A113">
        <v>156640750</v>
      </c>
      <c r="B113" s="2" t="s">
        <v>341</v>
      </c>
      <c r="C113" t="s">
        <v>344</v>
      </c>
      <c r="D113">
        <v>128</v>
      </c>
      <c r="E113">
        <v>83</v>
      </c>
      <c r="F113">
        <v>60</v>
      </c>
      <c r="G113">
        <v>5</v>
      </c>
      <c r="H113">
        <v>-24</v>
      </c>
    </row>
    <row r="114" spans="1:8" x14ac:dyDescent="0.3">
      <c r="A114" s="6">
        <v>116443890</v>
      </c>
      <c r="B114" s="2" t="s">
        <v>346</v>
      </c>
      <c r="C114" t="s">
        <v>342</v>
      </c>
      <c r="D114">
        <v>140</v>
      </c>
      <c r="E114">
        <v>215</v>
      </c>
      <c r="F114">
        <v>70</v>
      </c>
      <c r="H114">
        <v>-18</v>
      </c>
    </row>
    <row r="115" spans="1:8" x14ac:dyDescent="0.3">
      <c r="A115">
        <v>154652840</v>
      </c>
      <c r="B115" s="2" t="s">
        <v>343</v>
      </c>
      <c r="C115" t="s">
        <v>344</v>
      </c>
      <c r="D115">
        <v>160</v>
      </c>
      <c r="E115">
        <v>84</v>
      </c>
      <c r="F115">
        <v>67.400000000000006</v>
      </c>
      <c r="G115">
        <v>2</v>
      </c>
      <c r="H115">
        <v>-24</v>
      </c>
    </row>
    <row r="116" spans="1:8" x14ac:dyDescent="0.3">
      <c r="A116">
        <v>104045575</v>
      </c>
      <c r="B116" s="2" t="s">
        <v>341</v>
      </c>
      <c r="C116" t="s">
        <v>344</v>
      </c>
      <c r="D116">
        <v>250</v>
      </c>
      <c r="E116">
        <v>75</v>
      </c>
      <c r="F116">
        <v>87</v>
      </c>
      <c r="G116">
        <v>12</v>
      </c>
      <c r="H116">
        <v>-25</v>
      </c>
    </row>
    <row r="117" spans="1:8" x14ac:dyDescent="0.3">
      <c r="A117">
        <v>157686240</v>
      </c>
      <c r="B117" s="2" t="s">
        <v>343</v>
      </c>
      <c r="C117" t="s">
        <v>344</v>
      </c>
      <c r="D117">
        <v>200</v>
      </c>
      <c r="E117">
        <v>87</v>
      </c>
      <c r="F117">
        <v>85.5</v>
      </c>
      <c r="G117">
        <v>3</v>
      </c>
      <c r="H117">
        <v>-18</v>
      </c>
    </row>
    <row r="118" spans="1:8" x14ac:dyDescent="0.3">
      <c r="A118">
        <v>141407423</v>
      </c>
      <c r="B118" s="2" t="s">
        <v>343</v>
      </c>
      <c r="C118" t="s">
        <v>344</v>
      </c>
      <c r="D118">
        <v>195</v>
      </c>
      <c r="E118">
        <v>92</v>
      </c>
      <c r="F118">
        <v>79</v>
      </c>
      <c r="H118">
        <v>-18</v>
      </c>
    </row>
    <row r="119" spans="1:8" x14ac:dyDescent="0.3">
      <c r="A119">
        <v>148912880</v>
      </c>
      <c r="B119" s="2" t="s">
        <v>343</v>
      </c>
      <c r="C119" t="s">
        <v>344</v>
      </c>
      <c r="D119">
        <v>177.5</v>
      </c>
      <c r="E119">
        <v>91</v>
      </c>
      <c r="F119">
        <v>72.5</v>
      </c>
      <c r="G119">
        <v>3</v>
      </c>
      <c r="H119">
        <v>-18</v>
      </c>
    </row>
    <row r="120" spans="1:8" x14ac:dyDescent="0.3">
      <c r="A120">
        <v>143080837</v>
      </c>
      <c r="B120" s="2" t="s">
        <v>343</v>
      </c>
      <c r="C120" t="s">
        <v>344</v>
      </c>
      <c r="D120">
        <v>380.8</v>
      </c>
      <c r="E120">
        <v>93</v>
      </c>
      <c r="F120">
        <v>100</v>
      </c>
      <c r="H120">
        <v>-35</v>
      </c>
    </row>
    <row r="121" spans="1:8" x14ac:dyDescent="0.3">
      <c r="A121">
        <v>140700154</v>
      </c>
      <c r="B121" s="2" t="s">
        <v>341</v>
      </c>
      <c r="C121" t="s">
        <v>344</v>
      </c>
      <c r="D121">
        <v>130</v>
      </c>
      <c r="E121">
        <v>86</v>
      </c>
      <c r="F121">
        <v>65</v>
      </c>
      <c r="G121">
        <v>5</v>
      </c>
      <c r="H121">
        <v>-25</v>
      </c>
    </row>
    <row r="122" spans="1:8" x14ac:dyDescent="0.3">
      <c r="A122">
        <v>154651758</v>
      </c>
      <c r="B122" s="2" t="s">
        <v>343</v>
      </c>
      <c r="C122" t="s">
        <v>344</v>
      </c>
      <c r="D122">
        <v>180</v>
      </c>
      <c r="E122">
        <v>84</v>
      </c>
      <c r="F122">
        <v>67.400000000000006</v>
      </c>
      <c r="G122">
        <v>2</v>
      </c>
      <c r="H122">
        <v>-24</v>
      </c>
    </row>
    <row r="123" spans="1:8" x14ac:dyDescent="0.3">
      <c r="A123">
        <v>143487775</v>
      </c>
      <c r="B123" s="2" t="s">
        <v>343</v>
      </c>
      <c r="C123" t="s">
        <v>344</v>
      </c>
      <c r="D123">
        <v>250</v>
      </c>
      <c r="E123">
        <v>80</v>
      </c>
      <c r="F123">
        <v>90</v>
      </c>
      <c r="G123">
        <v>3</v>
      </c>
      <c r="H123">
        <v>-18</v>
      </c>
    </row>
    <row r="124" spans="1:8" x14ac:dyDescent="0.3">
      <c r="A124">
        <v>118327703</v>
      </c>
      <c r="B124" s="2" t="s">
        <v>341</v>
      </c>
      <c r="C124" t="s">
        <v>345</v>
      </c>
      <c r="D124">
        <v>250</v>
      </c>
      <c r="E124">
        <v>85</v>
      </c>
      <c r="F124">
        <v>95</v>
      </c>
      <c r="H124">
        <v>-18</v>
      </c>
    </row>
    <row r="125" spans="1:8" x14ac:dyDescent="0.3">
      <c r="A125">
        <v>122939001</v>
      </c>
      <c r="B125" s="2" t="s">
        <v>341</v>
      </c>
      <c r="C125" t="s">
        <v>344</v>
      </c>
      <c r="D125">
        <v>179</v>
      </c>
      <c r="E125">
        <v>88.5</v>
      </c>
      <c r="F125">
        <v>66.5</v>
      </c>
      <c r="G125">
        <v>5</v>
      </c>
      <c r="H125">
        <v>-25</v>
      </c>
    </row>
    <row r="126" spans="1:8" x14ac:dyDescent="0.3">
      <c r="A126">
        <v>129159431</v>
      </c>
      <c r="B126" s="2" t="s">
        <v>343</v>
      </c>
      <c r="C126" t="s">
        <v>342</v>
      </c>
      <c r="D126">
        <v>260</v>
      </c>
      <c r="E126">
        <v>88</v>
      </c>
      <c r="F126">
        <v>102</v>
      </c>
      <c r="H126">
        <v>-18</v>
      </c>
    </row>
    <row r="127" spans="1:8" x14ac:dyDescent="0.3">
      <c r="A127">
        <v>114861132</v>
      </c>
      <c r="B127" s="2" t="s">
        <v>341</v>
      </c>
      <c r="C127" t="s">
        <v>344</v>
      </c>
      <c r="D127">
        <v>155</v>
      </c>
      <c r="E127">
        <v>84.5</v>
      </c>
      <c r="F127">
        <v>65</v>
      </c>
      <c r="G127">
        <v>4</v>
      </c>
      <c r="H127">
        <v>-24</v>
      </c>
    </row>
    <row r="128" spans="1:8" x14ac:dyDescent="0.3">
      <c r="A128" s="6">
        <v>119095687</v>
      </c>
      <c r="B128" s="2" t="s">
        <v>346</v>
      </c>
      <c r="C128" t="s">
        <v>342</v>
      </c>
      <c r="D128">
        <v>140</v>
      </c>
      <c r="E128">
        <v>215</v>
      </c>
      <c r="F128">
        <v>70</v>
      </c>
      <c r="H128">
        <v>-18</v>
      </c>
    </row>
    <row r="129" spans="1:8" x14ac:dyDescent="0.3">
      <c r="A129">
        <v>155437333</v>
      </c>
      <c r="B129" s="2" t="s">
        <v>341</v>
      </c>
      <c r="C129" t="s">
        <v>342</v>
      </c>
      <c r="D129">
        <v>200</v>
      </c>
      <c r="E129">
        <v>85</v>
      </c>
      <c r="F129">
        <v>80</v>
      </c>
      <c r="G129">
        <v>6</v>
      </c>
      <c r="H129">
        <v>-26</v>
      </c>
    </row>
    <row r="130" spans="1:8" x14ac:dyDescent="0.3">
      <c r="A130">
        <v>148807903</v>
      </c>
      <c r="B130" s="2" t="s">
        <v>343</v>
      </c>
      <c r="C130" t="s">
        <v>342</v>
      </c>
      <c r="D130">
        <v>145.19999999999999</v>
      </c>
      <c r="E130">
        <v>88.5</v>
      </c>
      <c r="F130">
        <v>76</v>
      </c>
      <c r="H130">
        <v>-17</v>
      </c>
    </row>
    <row r="131" spans="1:8" x14ac:dyDescent="0.3">
      <c r="A131">
        <v>100620937</v>
      </c>
      <c r="B131" s="2" t="s">
        <v>343</v>
      </c>
      <c r="C131" t="s">
        <v>344</v>
      </c>
      <c r="D131">
        <v>197</v>
      </c>
      <c r="E131">
        <v>94.2</v>
      </c>
      <c r="F131">
        <v>104</v>
      </c>
      <c r="G131">
        <v>2</v>
      </c>
      <c r="H131">
        <v>-18</v>
      </c>
    </row>
    <row r="132" spans="1:8" x14ac:dyDescent="0.3">
      <c r="A132">
        <v>114890200</v>
      </c>
      <c r="B132" s="2" t="s">
        <v>341</v>
      </c>
      <c r="C132" t="s">
        <v>344</v>
      </c>
      <c r="D132">
        <v>130</v>
      </c>
      <c r="E132">
        <v>84.5</v>
      </c>
      <c r="F132">
        <v>65</v>
      </c>
      <c r="G132">
        <v>4</v>
      </c>
      <c r="H132">
        <v>-25</v>
      </c>
    </row>
    <row r="133" spans="1:8" x14ac:dyDescent="0.3">
      <c r="A133">
        <v>2800259</v>
      </c>
      <c r="B133" s="2" t="s">
        <v>341</v>
      </c>
      <c r="C133" t="s">
        <v>344</v>
      </c>
      <c r="D133">
        <v>160</v>
      </c>
      <c r="E133">
        <v>80</v>
      </c>
      <c r="F133">
        <v>60</v>
      </c>
      <c r="G133">
        <v>6</v>
      </c>
    </row>
    <row r="134" spans="1:8" x14ac:dyDescent="0.3">
      <c r="A134">
        <v>106635013</v>
      </c>
      <c r="B134" s="2" t="s">
        <v>343</v>
      </c>
      <c r="C134" t="s">
        <v>344</v>
      </c>
      <c r="D134">
        <v>200.1</v>
      </c>
      <c r="E134">
        <v>87</v>
      </c>
      <c r="F134">
        <v>85.5</v>
      </c>
      <c r="H134">
        <v>-18</v>
      </c>
    </row>
    <row r="135" spans="1:8" x14ac:dyDescent="0.3">
      <c r="A135">
        <v>149362714</v>
      </c>
      <c r="B135" s="2" t="s">
        <v>341</v>
      </c>
      <c r="C135" t="s">
        <v>342</v>
      </c>
      <c r="D135">
        <v>180</v>
      </c>
      <c r="E135">
        <v>86</v>
      </c>
      <c r="F135">
        <v>76</v>
      </c>
      <c r="G135">
        <v>7</v>
      </c>
      <c r="H135">
        <v>-22</v>
      </c>
    </row>
    <row r="136" spans="1:8" x14ac:dyDescent="0.3">
      <c r="A136">
        <v>142298659</v>
      </c>
      <c r="B136" s="2" t="s">
        <v>341</v>
      </c>
      <c r="C136" t="s">
        <v>342</v>
      </c>
      <c r="D136">
        <v>200</v>
      </c>
      <c r="E136">
        <v>80</v>
      </c>
      <c r="F136">
        <v>76</v>
      </c>
      <c r="G136">
        <v>7</v>
      </c>
      <c r="H136">
        <v>-24</v>
      </c>
    </row>
    <row r="137" spans="1:8" x14ac:dyDescent="0.3">
      <c r="A137">
        <v>136844048</v>
      </c>
      <c r="B137" s="2" t="s">
        <v>341</v>
      </c>
      <c r="C137" t="s">
        <v>344</v>
      </c>
      <c r="D137">
        <v>175</v>
      </c>
      <c r="E137">
        <v>81.8</v>
      </c>
      <c r="F137">
        <v>65</v>
      </c>
      <c r="G137">
        <v>6</v>
      </c>
      <c r="H137">
        <v>-24</v>
      </c>
    </row>
    <row r="138" spans="1:8" x14ac:dyDescent="0.3">
      <c r="A138">
        <v>108427272</v>
      </c>
      <c r="B138" s="2" t="s">
        <v>343</v>
      </c>
      <c r="C138" t="s">
        <v>344</v>
      </c>
      <c r="D138">
        <v>195</v>
      </c>
      <c r="E138">
        <v>88</v>
      </c>
      <c r="F138">
        <v>84</v>
      </c>
      <c r="G138">
        <v>2</v>
      </c>
      <c r="H138">
        <v>-18</v>
      </c>
    </row>
    <row r="139" spans="1:8" x14ac:dyDescent="0.3">
      <c r="A139">
        <v>129607134</v>
      </c>
      <c r="B139" s="2" t="s">
        <v>341</v>
      </c>
      <c r="C139" t="s">
        <v>344</v>
      </c>
      <c r="D139">
        <v>103.3</v>
      </c>
      <c r="E139">
        <v>91</v>
      </c>
      <c r="F139">
        <v>62</v>
      </c>
      <c r="G139">
        <v>3</v>
      </c>
      <c r="H139">
        <v>-36</v>
      </c>
    </row>
    <row r="140" spans="1:8" x14ac:dyDescent="0.3">
      <c r="A140">
        <v>106636721</v>
      </c>
      <c r="B140" s="2" t="s">
        <v>341</v>
      </c>
      <c r="C140" t="s">
        <v>344</v>
      </c>
      <c r="D140">
        <v>165</v>
      </c>
      <c r="E140">
        <v>87</v>
      </c>
      <c r="F140">
        <v>76</v>
      </c>
      <c r="G140">
        <v>5</v>
      </c>
    </row>
    <row r="141" spans="1:8" x14ac:dyDescent="0.3">
      <c r="A141">
        <v>150941920</v>
      </c>
      <c r="B141" s="2" t="s">
        <v>341</v>
      </c>
      <c r="C141" t="s">
        <v>344</v>
      </c>
      <c r="D141">
        <v>149.5</v>
      </c>
      <c r="E141">
        <v>85</v>
      </c>
      <c r="F141">
        <v>76.5</v>
      </c>
      <c r="G141">
        <v>4</v>
      </c>
      <c r="H141">
        <v>-20</v>
      </c>
    </row>
    <row r="142" spans="1:8" x14ac:dyDescent="0.3">
      <c r="A142">
        <v>154663956</v>
      </c>
      <c r="B142" s="2" t="s">
        <v>341</v>
      </c>
      <c r="C142" t="s">
        <v>344</v>
      </c>
      <c r="D142">
        <v>150</v>
      </c>
      <c r="E142">
        <v>83.5</v>
      </c>
      <c r="F142">
        <v>75</v>
      </c>
      <c r="G142">
        <v>5</v>
      </c>
      <c r="H142">
        <v>-20</v>
      </c>
    </row>
    <row r="143" spans="1:8" x14ac:dyDescent="0.3">
      <c r="A143">
        <v>122074021</v>
      </c>
      <c r="B143" s="2" t="s">
        <v>341</v>
      </c>
      <c r="C143" t="s">
        <v>342</v>
      </c>
      <c r="D143">
        <v>139</v>
      </c>
      <c r="E143">
        <v>100</v>
      </c>
      <c r="F143">
        <v>72</v>
      </c>
      <c r="G143">
        <v>4</v>
      </c>
      <c r="H143">
        <v>-18</v>
      </c>
    </row>
    <row r="144" spans="1:8" x14ac:dyDescent="0.3">
      <c r="A144">
        <v>145145984</v>
      </c>
      <c r="B144" s="2" t="s">
        <v>343</v>
      </c>
      <c r="C144" t="s">
        <v>344</v>
      </c>
      <c r="D144">
        <v>260</v>
      </c>
      <c r="E144">
        <v>93.5</v>
      </c>
      <c r="F144">
        <v>86.4</v>
      </c>
      <c r="G144">
        <v>1</v>
      </c>
      <c r="H144">
        <v>-35</v>
      </c>
    </row>
    <row r="145" spans="1:8" x14ac:dyDescent="0.3">
      <c r="A145">
        <v>110653507</v>
      </c>
      <c r="B145" s="2" t="s">
        <v>341</v>
      </c>
      <c r="C145" t="s">
        <v>344</v>
      </c>
      <c r="D145">
        <v>210</v>
      </c>
      <c r="E145">
        <v>85</v>
      </c>
      <c r="F145">
        <v>96</v>
      </c>
      <c r="G145">
        <v>6</v>
      </c>
      <c r="H145">
        <v>-25</v>
      </c>
    </row>
    <row r="146" spans="1:8" x14ac:dyDescent="0.3">
      <c r="A146">
        <v>133958993</v>
      </c>
      <c r="B146" s="2" t="s">
        <v>341</v>
      </c>
      <c r="C146" t="s">
        <v>345</v>
      </c>
      <c r="D146">
        <v>250</v>
      </c>
      <c r="E146">
        <v>81</v>
      </c>
      <c r="F146">
        <v>86</v>
      </c>
    </row>
    <row r="147" spans="1:8" x14ac:dyDescent="0.3">
      <c r="A147">
        <v>112587145</v>
      </c>
      <c r="B147" s="2" t="s">
        <v>341</v>
      </c>
      <c r="C147" t="s">
        <v>345</v>
      </c>
      <c r="D147">
        <v>250.4</v>
      </c>
      <c r="E147">
        <v>81</v>
      </c>
      <c r="F147">
        <v>86.4</v>
      </c>
      <c r="H147">
        <v>-24</v>
      </c>
    </row>
    <row r="148" spans="1:8" x14ac:dyDescent="0.3">
      <c r="A148">
        <v>156863482</v>
      </c>
      <c r="B148" s="2" t="s">
        <v>343</v>
      </c>
      <c r="C148" t="s">
        <v>342</v>
      </c>
      <c r="D148">
        <v>236</v>
      </c>
      <c r="E148">
        <v>85</v>
      </c>
      <c r="F148">
        <v>90</v>
      </c>
      <c r="H148">
        <v>-20</v>
      </c>
    </row>
    <row r="149" spans="1:8" x14ac:dyDescent="0.3">
      <c r="A149">
        <v>131172629</v>
      </c>
      <c r="B149" s="2" t="s">
        <v>341</v>
      </c>
      <c r="C149" t="s">
        <v>342</v>
      </c>
      <c r="D149">
        <v>250</v>
      </c>
      <c r="E149">
        <v>85</v>
      </c>
      <c r="F149">
        <v>85</v>
      </c>
      <c r="G149">
        <v>8</v>
      </c>
      <c r="H149">
        <v>-18</v>
      </c>
    </row>
    <row r="150" spans="1:8" x14ac:dyDescent="0.3">
      <c r="A150">
        <v>153722102</v>
      </c>
      <c r="B150" s="2" t="s">
        <v>343</v>
      </c>
      <c r="C150" t="s">
        <v>342</v>
      </c>
      <c r="D150">
        <v>193</v>
      </c>
      <c r="E150">
        <v>82.5</v>
      </c>
      <c r="F150">
        <v>71</v>
      </c>
    </row>
    <row r="151" spans="1:8" x14ac:dyDescent="0.3">
      <c r="A151" s="6">
        <v>124524012</v>
      </c>
      <c r="B151" s="2" t="s">
        <v>347</v>
      </c>
      <c r="C151" t="s">
        <v>344</v>
      </c>
      <c r="D151">
        <v>80</v>
      </c>
      <c r="E151">
        <v>120</v>
      </c>
      <c r="F151">
        <v>82</v>
      </c>
      <c r="H151">
        <v>-40</v>
      </c>
    </row>
    <row r="152" spans="1:8" x14ac:dyDescent="0.3">
      <c r="A152">
        <v>121623694</v>
      </c>
      <c r="B152" s="2" t="s">
        <v>341</v>
      </c>
      <c r="C152" t="s">
        <v>344</v>
      </c>
      <c r="D152">
        <v>250</v>
      </c>
      <c r="E152">
        <v>85</v>
      </c>
      <c r="F152">
        <v>96</v>
      </c>
      <c r="H152">
        <v>-25</v>
      </c>
    </row>
    <row r="153" spans="1:8" x14ac:dyDescent="0.3">
      <c r="A153">
        <v>113146979</v>
      </c>
      <c r="B153" s="2" t="s">
        <v>343</v>
      </c>
      <c r="C153" t="s">
        <v>344</v>
      </c>
      <c r="D153">
        <v>170.2</v>
      </c>
      <c r="E153">
        <v>84.2</v>
      </c>
      <c r="F153">
        <v>70.900000000000006</v>
      </c>
    </row>
    <row r="154" spans="1:8" x14ac:dyDescent="0.3">
      <c r="A154" s="6">
        <v>159645113</v>
      </c>
      <c r="B154" s="2" t="s">
        <v>346</v>
      </c>
      <c r="C154" t="s">
        <v>344</v>
      </c>
      <c r="D154">
        <v>120</v>
      </c>
      <c r="E154">
        <v>196</v>
      </c>
      <c r="F154">
        <v>76</v>
      </c>
      <c r="H154">
        <v>-15</v>
      </c>
    </row>
    <row r="155" spans="1:8" x14ac:dyDescent="0.3">
      <c r="A155">
        <v>147291509</v>
      </c>
      <c r="B155" s="2" t="s">
        <v>343</v>
      </c>
      <c r="C155" t="s">
        <v>344</v>
      </c>
      <c r="D155">
        <v>211</v>
      </c>
      <c r="E155">
        <v>80</v>
      </c>
      <c r="F155">
        <v>79</v>
      </c>
      <c r="G155">
        <v>2</v>
      </c>
    </row>
    <row r="156" spans="1:8" x14ac:dyDescent="0.3">
      <c r="A156">
        <v>142749485</v>
      </c>
      <c r="B156" s="2" t="s">
        <v>343</v>
      </c>
      <c r="C156" t="s">
        <v>342</v>
      </c>
      <c r="D156">
        <v>307</v>
      </c>
      <c r="E156">
        <v>88</v>
      </c>
      <c r="F156">
        <v>101</v>
      </c>
      <c r="G156">
        <v>2</v>
      </c>
      <c r="H156">
        <v>-18</v>
      </c>
    </row>
    <row r="157" spans="1:8" x14ac:dyDescent="0.3">
      <c r="A157" s="6">
        <v>140689760</v>
      </c>
      <c r="B157" s="2" t="s">
        <v>346</v>
      </c>
      <c r="C157" t="s">
        <v>344</v>
      </c>
      <c r="D157">
        <v>122</v>
      </c>
      <c r="E157">
        <v>165</v>
      </c>
      <c r="F157">
        <v>75</v>
      </c>
      <c r="H157">
        <v>-32</v>
      </c>
    </row>
    <row r="158" spans="1:8" x14ac:dyDescent="0.3">
      <c r="A158">
        <v>146357834</v>
      </c>
      <c r="B158" s="2" t="s">
        <v>341</v>
      </c>
      <c r="C158" t="s">
        <v>342</v>
      </c>
      <c r="D158">
        <v>200</v>
      </c>
      <c r="E158">
        <v>80</v>
      </c>
      <c r="F158">
        <v>95</v>
      </c>
      <c r="G158">
        <v>6</v>
      </c>
      <c r="H158">
        <v>-18</v>
      </c>
    </row>
    <row r="159" spans="1:8" x14ac:dyDescent="0.3">
      <c r="A159" s="6">
        <v>159837212</v>
      </c>
      <c r="B159" s="2" t="s">
        <v>346</v>
      </c>
      <c r="C159" t="s">
        <v>342</v>
      </c>
      <c r="D159">
        <v>120</v>
      </c>
      <c r="E159">
        <v>196</v>
      </c>
      <c r="F159">
        <v>76</v>
      </c>
      <c r="H159">
        <v>-16</v>
      </c>
    </row>
    <row r="160" spans="1:8" x14ac:dyDescent="0.3">
      <c r="A160">
        <v>141656191</v>
      </c>
      <c r="B160" s="2" t="s">
        <v>341</v>
      </c>
      <c r="C160" t="s">
        <v>342</v>
      </c>
      <c r="D160">
        <v>200</v>
      </c>
      <c r="E160">
        <v>88</v>
      </c>
      <c r="F160">
        <v>83</v>
      </c>
      <c r="G160">
        <v>6</v>
      </c>
      <c r="H160">
        <v>-22</v>
      </c>
    </row>
    <row r="161" spans="1:8" x14ac:dyDescent="0.3">
      <c r="A161">
        <v>120864386</v>
      </c>
      <c r="B161" s="2" t="s">
        <v>343</v>
      </c>
      <c r="C161" t="s">
        <v>344</v>
      </c>
      <c r="D161">
        <v>252</v>
      </c>
      <c r="E161">
        <v>87</v>
      </c>
      <c r="F161">
        <v>91</v>
      </c>
      <c r="H161">
        <v>-18</v>
      </c>
    </row>
    <row r="162" spans="1:8" x14ac:dyDescent="0.3">
      <c r="A162" s="6">
        <v>134892236</v>
      </c>
      <c r="B162" s="2" t="s">
        <v>346</v>
      </c>
      <c r="C162" t="s">
        <v>345</v>
      </c>
      <c r="D162">
        <v>69.5</v>
      </c>
      <c r="E162">
        <v>202.8</v>
      </c>
      <c r="F162">
        <v>69.5</v>
      </c>
      <c r="H162">
        <v>-18</v>
      </c>
    </row>
    <row r="163" spans="1:8" x14ac:dyDescent="0.3">
      <c r="A163">
        <v>128436967</v>
      </c>
      <c r="B163" s="2" t="s">
        <v>341</v>
      </c>
      <c r="C163" t="s">
        <v>344</v>
      </c>
      <c r="D163">
        <v>250</v>
      </c>
      <c r="E163">
        <v>86</v>
      </c>
      <c r="F163">
        <v>77</v>
      </c>
      <c r="G163">
        <v>9</v>
      </c>
      <c r="H163">
        <v>-18</v>
      </c>
    </row>
    <row r="164" spans="1:8" x14ac:dyDescent="0.3">
      <c r="A164">
        <v>159848766</v>
      </c>
      <c r="B164" s="2" t="s">
        <v>341</v>
      </c>
      <c r="C164" t="s">
        <v>342</v>
      </c>
      <c r="D164">
        <v>103</v>
      </c>
      <c r="E164">
        <v>87</v>
      </c>
      <c r="F164">
        <v>45</v>
      </c>
      <c r="G164">
        <v>6</v>
      </c>
      <c r="H164">
        <v>-22</v>
      </c>
    </row>
    <row r="165" spans="1:8" x14ac:dyDescent="0.3">
      <c r="A165">
        <v>114880693</v>
      </c>
      <c r="B165" s="2" t="s">
        <v>341</v>
      </c>
      <c r="C165" t="s">
        <v>345</v>
      </c>
      <c r="D165">
        <v>185.5</v>
      </c>
      <c r="E165">
        <v>81</v>
      </c>
      <c r="F165">
        <v>86.5</v>
      </c>
      <c r="H165">
        <v>-24</v>
      </c>
    </row>
    <row r="166" spans="1:8" x14ac:dyDescent="0.3">
      <c r="A166">
        <v>140731818</v>
      </c>
      <c r="B166" s="2" t="s">
        <v>341</v>
      </c>
      <c r="C166" t="s">
        <v>344</v>
      </c>
      <c r="D166">
        <v>210</v>
      </c>
      <c r="E166">
        <v>85</v>
      </c>
      <c r="F166">
        <v>83</v>
      </c>
      <c r="H166">
        <v>-18</v>
      </c>
    </row>
    <row r="167" spans="1:8" x14ac:dyDescent="0.3">
      <c r="A167">
        <v>155690165</v>
      </c>
      <c r="B167" s="2" t="s">
        <v>341</v>
      </c>
      <c r="C167" t="s">
        <v>342</v>
      </c>
      <c r="D167">
        <v>210</v>
      </c>
      <c r="E167">
        <v>87</v>
      </c>
      <c r="F167">
        <v>81</v>
      </c>
      <c r="H167">
        <v>-26</v>
      </c>
    </row>
    <row r="168" spans="1:8" x14ac:dyDescent="0.3">
      <c r="A168">
        <v>156863274</v>
      </c>
      <c r="B168" s="2" t="s">
        <v>343</v>
      </c>
      <c r="C168" t="s">
        <v>342</v>
      </c>
      <c r="D168">
        <v>140</v>
      </c>
      <c r="E168">
        <v>71</v>
      </c>
      <c r="F168">
        <v>89</v>
      </c>
      <c r="H168">
        <v>-18</v>
      </c>
    </row>
    <row r="169" spans="1:8" x14ac:dyDescent="0.3">
      <c r="A169">
        <v>144491862</v>
      </c>
      <c r="B169" s="2" t="s">
        <v>341</v>
      </c>
      <c r="C169" t="s">
        <v>344</v>
      </c>
      <c r="D169">
        <v>74</v>
      </c>
      <c r="E169">
        <v>87</v>
      </c>
      <c r="F169">
        <v>45</v>
      </c>
      <c r="H169">
        <v>-18</v>
      </c>
    </row>
    <row r="170" spans="1:8" x14ac:dyDescent="0.3">
      <c r="A170">
        <v>155757762</v>
      </c>
      <c r="B170" s="2" t="s">
        <v>341</v>
      </c>
      <c r="C170" t="s">
        <v>342</v>
      </c>
      <c r="D170">
        <v>125</v>
      </c>
      <c r="E170">
        <v>90</v>
      </c>
      <c r="F170">
        <v>60</v>
      </c>
      <c r="G170">
        <v>3</v>
      </c>
      <c r="H170">
        <v>-18</v>
      </c>
    </row>
    <row r="171" spans="1:8" x14ac:dyDescent="0.3">
      <c r="A171">
        <v>100843154</v>
      </c>
      <c r="B171" s="2" t="s">
        <v>343</v>
      </c>
      <c r="C171" t="s">
        <v>345</v>
      </c>
      <c r="D171">
        <v>160</v>
      </c>
      <c r="E171">
        <v>82</v>
      </c>
      <c r="F171">
        <v>60</v>
      </c>
    </row>
    <row r="172" spans="1:8" x14ac:dyDescent="0.3">
      <c r="A172">
        <v>155336923</v>
      </c>
      <c r="B172" s="2" t="s">
        <v>341</v>
      </c>
      <c r="C172" t="s">
        <v>342</v>
      </c>
      <c r="D172">
        <v>200</v>
      </c>
      <c r="E172">
        <v>85</v>
      </c>
      <c r="F172">
        <v>88</v>
      </c>
      <c r="G172">
        <v>7</v>
      </c>
      <c r="H172">
        <v>-26</v>
      </c>
    </row>
    <row r="173" spans="1:8" x14ac:dyDescent="0.3">
      <c r="A173">
        <v>140330902</v>
      </c>
      <c r="B173" s="2" t="s">
        <v>341</v>
      </c>
      <c r="C173" t="s">
        <v>342</v>
      </c>
      <c r="D173">
        <v>122.4</v>
      </c>
      <c r="E173">
        <v>82</v>
      </c>
      <c r="F173">
        <v>65.400000000000006</v>
      </c>
      <c r="G173">
        <v>6</v>
      </c>
    </row>
    <row r="174" spans="1:8" x14ac:dyDescent="0.3">
      <c r="A174">
        <v>129482952</v>
      </c>
      <c r="B174" s="2" t="s">
        <v>341</v>
      </c>
      <c r="C174" t="s">
        <v>342</v>
      </c>
      <c r="D174">
        <v>153</v>
      </c>
      <c r="E174">
        <v>90</v>
      </c>
      <c r="F174">
        <v>72</v>
      </c>
      <c r="G174">
        <v>6</v>
      </c>
      <c r="H174">
        <v>-23</v>
      </c>
    </row>
    <row r="175" spans="1:8" x14ac:dyDescent="0.3">
      <c r="A175">
        <v>143231818</v>
      </c>
      <c r="B175" s="2" t="s">
        <v>343</v>
      </c>
      <c r="C175" t="s">
        <v>344</v>
      </c>
      <c r="D175">
        <v>164</v>
      </c>
      <c r="E175">
        <v>88</v>
      </c>
      <c r="F175">
        <v>70.5</v>
      </c>
      <c r="G175">
        <v>1</v>
      </c>
      <c r="H175">
        <v>-22</v>
      </c>
    </row>
    <row r="176" spans="1:8" x14ac:dyDescent="0.3">
      <c r="A176">
        <v>141392200</v>
      </c>
      <c r="B176" s="2" t="s">
        <v>341</v>
      </c>
      <c r="C176" t="s">
        <v>344</v>
      </c>
      <c r="D176">
        <v>155</v>
      </c>
      <c r="E176">
        <v>82</v>
      </c>
      <c r="F176">
        <v>65</v>
      </c>
      <c r="G176">
        <v>6</v>
      </c>
      <c r="H176">
        <v>-24</v>
      </c>
    </row>
    <row r="177" spans="1:8" x14ac:dyDescent="0.3">
      <c r="A177">
        <v>100620951</v>
      </c>
      <c r="B177" s="2" t="s">
        <v>341</v>
      </c>
      <c r="C177" t="s">
        <v>344</v>
      </c>
      <c r="D177">
        <v>163.4</v>
      </c>
      <c r="E177">
        <v>90</v>
      </c>
      <c r="F177">
        <v>65.3</v>
      </c>
      <c r="G177">
        <v>5</v>
      </c>
    </row>
    <row r="178" spans="1:8" x14ac:dyDescent="0.3">
      <c r="A178">
        <v>142950129</v>
      </c>
      <c r="B178" s="2" t="s">
        <v>341</v>
      </c>
      <c r="C178" t="s">
        <v>344</v>
      </c>
      <c r="D178">
        <v>134</v>
      </c>
      <c r="E178">
        <v>90</v>
      </c>
      <c r="F178">
        <v>72</v>
      </c>
      <c r="G178">
        <v>4</v>
      </c>
      <c r="H178">
        <v>-18</v>
      </c>
    </row>
    <row r="179" spans="1:8" x14ac:dyDescent="0.3">
      <c r="A179">
        <v>148807907</v>
      </c>
      <c r="B179" s="2" t="s">
        <v>343</v>
      </c>
      <c r="C179" t="s">
        <v>342</v>
      </c>
      <c r="D179">
        <v>170.3</v>
      </c>
      <c r="E179">
        <v>88.5</v>
      </c>
      <c r="F179">
        <v>76</v>
      </c>
      <c r="H179">
        <v>-17</v>
      </c>
    </row>
    <row r="180" spans="1:8" x14ac:dyDescent="0.3">
      <c r="A180">
        <v>135246793</v>
      </c>
      <c r="B180" s="2" t="s">
        <v>341</v>
      </c>
      <c r="C180" t="s">
        <v>344</v>
      </c>
      <c r="D180">
        <v>128</v>
      </c>
      <c r="E180">
        <v>91</v>
      </c>
      <c r="F180">
        <v>65</v>
      </c>
      <c r="G180">
        <v>3</v>
      </c>
      <c r="H180">
        <v>-20</v>
      </c>
    </row>
    <row r="181" spans="1:8" x14ac:dyDescent="0.3">
      <c r="A181">
        <v>119662367</v>
      </c>
      <c r="B181" s="2" t="s">
        <v>341</v>
      </c>
      <c r="C181" t="s">
        <v>344</v>
      </c>
      <c r="D181">
        <v>75</v>
      </c>
      <c r="E181">
        <v>85</v>
      </c>
      <c r="F181">
        <v>56</v>
      </c>
      <c r="G181">
        <v>3</v>
      </c>
    </row>
    <row r="182" spans="1:8" x14ac:dyDescent="0.3">
      <c r="A182">
        <v>157745132</v>
      </c>
      <c r="B182" s="2" t="s">
        <v>343</v>
      </c>
      <c r="C182" t="s">
        <v>342</v>
      </c>
      <c r="D182">
        <v>307</v>
      </c>
      <c r="E182">
        <v>88</v>
      </c>
      <c r="F182">
        <v>101</v>
      </c>
      <c r="G182">
        <v>9</v>
      </c>
      <c r="H182">
        <v>-18</v>
      </c>
    </row>
    <row r="183" spans="1:8" x14ac:dyDescent="0.3">
      <c r="A183">
        <v>162887915</v>
      </c>
      <c r="B183" s="2" t="s">
        <v>343</v>
      </c>
      <c r="C183" t="s">
        <v>342</v>
      </c>
      <c r="D183">
        <v>193</v>
      </c>
      <c r="E183">
        <v>82.5</v>
      </c>
      <c r="F183">
        <v>71</v>
      </c>
      <c r="H183">
        <v>-18</v>
      </c>
    </row>
    <row r="184" spans="1:8" x14ac:dyDescent="0.3">
      <c r="A184">
        <v>124037055</v>
      </c>
      <c r="B184" s="2" t="s">
        <v>341</v>
      </c>
      <c r="C184" t="s">
        <v>342</v>
      </c>
      <c r="D184">
        <v>121</v>
      </c>
      <c r="E184">
        <v>137</v>
      </c>
      <c r="F184">
        <v>80</v>
      </c>
      <c r="H184">
        <v>-28</v>
      </c>
    </row>
    <row r="185" spans="1:8" x14ac:dyDescent="0.3">
      <c r="A185">
        <v>162695715</v>
      </c>
      <c r="B185" s="2" t="s">
        <v>343</v>
      </c>
      <c r="C185" t="s">
        <v>342</v>
      </c>
      <c r="D185">
        <v>153.5</v>
      </c>
      <c r="E185">
        <v>82.5</v>
      </c>
      <c r="F185">
        <v>74</v>
      </c>
      <c r="H185">
        <v>-18</v>
      </c>
    </row>
    <row r="186" spans="1:8" x14ac:dyDescent="0.3">
      <c r="A186">
        <v>165137985</v>
      </c>
      <c r="B186" s="2" t="s">
        <v>341</v>
      </c>
      <c r="C186" t="s">
        <v>342</v>
      </c>
      <c r="D186">
        <v>102</v>
      </c>
      <c r="E186">
        <v>92</v>
      </c>
      <c r="F186">
        <v>60</v>
      </c>
      <c r="G186">
        <v>3</v>
      </c>
      <c r="H186">
        <v>-22</v>
      </c>
    </row>
    <row r="187" spans="1:8" x14ac:dyDescent="0.3">
      <c r="A187">
        <v>150942040</v>
      </c>
      <c r="B187" s="2" t="s">
        <v>341</v>
      </c>
      <c r="C187" t="s">
        <v>344</v>
      </c>
      <c r="D187">
        <v>179.5</v>
      </c>
      <c r="E187">
        <v>85</v>
      </c>
      <c r="F187">
        <v>76.5</v>
      </c>
      <c r="G187">
        <v>5</v>
      </c>
      <c r="H187">
        <v>-20</v>
      </c>
    </row>
    <row r="188" spans="1:8" x14ac:dyDescent="0.3">
      <c r="A188" s="6">
        <v>102055230</v>
      </c>
      <c r="B188" s="2" t="s">
        <v>346</v>
      </c>
      <c r="C188" t="s">
        <v>345</v>
      </c>
      <c r="D188">
        <v>147</v>
      </c>
      <c r="E188">
        <v>199</v>
      </c>
      <c r="F188">
        <v>88.4</v>
      </c>
      <c r="H188">
        <v>-18</v>
      </c>
    </row>
    <row r="189" spans="1:8" x14ac:dyDescent="0.3">
      <c r="A189">
        <v>165138042</v>
      </c>
      <c r="B189" s="2" t="s">
        <v>341</v>
      </c>
      <c r="C189" t="s">
        <v>342</v>
      </c>
      <c r="D189">
        <v>88</v>
      </c>
      <c r="E189">
        <v>92</v>
      </c>
      <c r="F189">
        <v>60</v>
      </c>
      <c r="G189">
        <v>2</v>
      </c>
      <c r="H189">
        <v>-22</v>
      </c>
    </row>
    <row r="190" spans="1:8" x14ac:dyDescent="0.3">
      <c r="A190">
        <v>137737167</v>
      </c>
      <c r="B190" s="2" t="s">
        <v>343</v>
      </c>
      <c r="C190" t="s">
        <v>344</v>
      </c>
      <c r="D190">
        <v>174</v>
      </c>
      <c r="E190">
        <v>89</v>
      </c>
      <c r="F190">
        <v>66</v>
      </c>
      <c r="G190">
        <v>1</v>
      </c>
      <c r="H190">
        <v>-18</v>
      </c>
    </row>
    <row r="191" spans="1:8" x14ac:dyDescent="0.3">
      <c r="A191">
        <v>166409350</v>
      </c>
      <c r="B191" s="2" t="s">
        <v>341</v>
      </c>
      <c r="C191" t="s">
        <v>342</v>
      </c>
      <c r="D191">
        <v>150</v>
      </c>
      <c r="E191">
        <v>88</v>
      </c>
      <c r="F191">
        <v>80</v>
      </c>
      <c r="G191">
        <v>5</v>
      </c>
      <c r="H191">
        <v>-18</v>
      </c>
    </row>
    <row r="192" spans="1:8" x14ac:dyDescent="0.3">
      <c r="A192">
        <v>158660612</v>
      </c>
      <c r="B192" s="2" t="s">
        <v>341</v>
      </c>
      <c r="C192" t="s">
        <v>342</v>
      </c>
      <c r="D192">
        <v>188</v>
      </c>
      <c r="E192">
        <v>90</v>
      </c>
      <c r="F192">
        <v>65.3</v>
      </c>
      <c r="H192">
        <v>-18</v>
      </c>
    </row>
    <row r="193" spans="1:8" x14ac:dyDescent="0.3">
      <c r="A193">
        <v>159517634</v>
      </c>
      <c r="B193" s="2" t="s">
        <v>343</v>
      </c>
      <c r="C193" t="s">
        <v>344</v>
      </c>
      <c r="D193">
        <v>188</v>
      </c>
      <c r="E193">
        <v>95.5</v>
      </c>
      <c r="F193">
        <v>73.5</v>
      </c>
      <c r="G193">
        <v>2</v>
      </c>
      <c r="H193">
        <v>-18</v>
      </c>
    </row>
    <row r="194" spans="1:8" x14ac:dyDescent="0.3">
      <c r="A194">
        <v>110577135</v>
      </c>
      <c r="B194" s="2" t="s">
        <v>343</v>
      </c>
      <c r="C194" t="s">
        <v>344</v>
      </c>
      <c r="D194">
        <v>200</v>
      </c>
      <c r="E194">
        <v>84</v>
      </c>
      <c r="F194">
        <v>60</v>
      </c>
      <c r="G194">
        <v>4</v>
      </c>
      <c r="H194">
        <v>-25</v>
      </c>
    </row>
    <row r="195" spans="1:8" x14ac:dyDescent="0.3">
      <c r="A195">
        <v>131142642</v>
      </c>
      <c r="B195" s="2" t="s">
        <v>343</v>
      </c>
      <c r="C195" t="s">
        <v>344</v>
      </c>
      <c r="D195">
        <v>194.5</v>
      </c>
      <c r="E195">
        <v>82.5</v>
      </c>
      <c r="F195">
        <v>79.7</v>
      </c>
      <c r="H195">
        <v>-18</v>
      </c>
    </row>
    <row r="196" spans="1:8" x14ac:dyDescent="0.3">
      <c r="A196">
        <v>131467095</v>
      </c>
      <c r="B196" s="2" t="s">
        <v>341</v>
      </c>
      <c r="C196" t="s">
        <v>345</v>
      </c>
      <c r="D196">
        <v>250</v>
      </c>
      <c r="E196">
        <v>82</v>
      </c>
      <c r="F196">
        <v>80</v>
      </c>
      <c r="G196">
        <v>9</v>
      </c>
    </row>
    <row r="197" spans="1:8" x14ac:dyDescent="0.3">
      <c r="A197">
        <v>106833516</v>
      </c>
      <c r="B197" s="2" t="s">
        <v>341</v>
      </c>
      <c r="C197" t="s">
        <v>344</v>
      </c>
      <c r="D197">
        <v>180</v>
      </c>
      <c r="E197">
        <v>84</v>
      </c>
      <c r="F197">
        <v>60</v>
      </c>
      <c r="G197">
        <v>8</v>
      </c>
      <c r="H197">
        <v>-22</v>
      </c>
    </row>
    <row r="198" spans="1:8" x14ac:dyDescent="0.3">
      <c r="A198">
        <v>166729170</v>
      </c>
      <c r="B198" s="2" t="s">
        <v>341</v>
      </c>
      <c r="C198" t="s">
        <v>344</v>
      </c>
      <c r="D198">
        <v>50</v>
      </c>
      <c r="E198">
        <v>70</v>
      </c>
      <c r="F198">
        <v>45</v>
      </c>
      <c r="G198">
        <v>5</v>
      </c>
      <c r="H198">
        <v>-18</v>
      </c>
    </row>
    <row r="199" spans="1:8" x14ac:dyDescent="0.3">
      <c r="A199" s="6">
        <v>143491581</v>
      </c>
      <c r="B199" s="2" t="s">
        <v>346</v>
      </c>
      <c r="C199" t="s">
        <v>344</v>
      </c>
      <c r="D199">
        <v>120</v>
      </c>
      <c r="E199">
        <v>200</v>
      </c>
      <c r="F199">
        <v>70</v>
      </c>
      <c r="H199">
        <v>-18</v>
      </c>
    </row>
    <row r="200" spans="1:8" x14ac:dyDescent="0.3">
      <c r="A200">
        <v>136188270</v>
      </c>
      <c r="B200" s="2" t="s">
        <v>341</v>
      </c>
      <c r="C200" t="s">
        <v>344</v>
      </c>
      <c r="D200">
        <v>60.6</v>
      </c>
      <c r="E200">
        <v>85</v>
      </c>
      <c r="F200">
        <v>70</v>
      </c>
      <c r="G200">
        <v>1</v>
      </c>
      <c r="H200">
        <v>-18</v>
      </c>
    </row>
    <row r="201" spans="1:8" x14ac:dyDescent="0.3">
      <c r="A201">
        <v>162467614</v>
      </c>
      <c r="B201" s="2" t="s">
        <v>341</v>
      </c>
      <c r="C201" t="s">
        <v>344</v>
      </c>
      <c r="D201">
        <v>200</v>
      </c>
      <c r="E201">
        <v>84</v>
      </c>
      <c r="F201">
        <v>67</v>
      </c>
      <c r="G201">
        <v>7</v>
      </c>
      <c r="H201">
        <v>-26</v>
      </c>
    </row>
    <row r="202" spans="1:8" x14ac:dyDescent="0.3">
      <c r="A202">
        <v>122620734</v>
      </c>
      <c r="B202" s="2" t="s">
        <v>341</v>
      </c>
      <c r="C202" t="s">
        <v>345</v>
      </c>
      <c r="D202">
        <v>190</v>
      </c>
      <c r="E202">
        <v>94</v>
      </c>
      <c r="F202">
        <v>83</v>
      </c>
      <c r="G202">
        <v>6</v>
      </c>
      <c r="H202">
        <v>-20</v>
      </c>
    </row>
    <row r="203" spans="1:8" x14ac:dyDescent="0.3">
      <c r="A203">
        <v>142956773</v>
      </c>
      <c r="B203" s="2" t="s">
        <v>343</v>
      </c>
      <c r="C203" t="s">
        <v>342</v>
      </c>
      <c r="D203">
        <v>230</v>
      </c>
      <c r="E203">
        <v>86.4</v>
      </c>
      <c r="F203">
        <v>93.5</v>
      </c>
      <c r="H203">
        <v>-35</v>
      </c>
    </row>
    <row r="204" spans="1:8" x14ac:dyDescent="0.3">
      <c r="A204">
        <v>165137896</v>
      </c>
      <c r="B204" s="2" t="s">
        <v>341</v>
      </c>
      <c r="C204" t="s">
        <v>342</v>
      </c>
      <c r="D204">
        <v>55</v>
      </c>
      <c r="E204">
        <v>81</v>
      </c>
      <c r="F204">
        <v>51</v>
      </c>
      <c r="H204">
        <v>-22</v>
      </c>
    </row>
    <row r="205" spans="1:8" x14ac:dyDescent="0.3">
      <c r="A205">
        <v>162985690</v>
      </c>
      <c r="B205" s="2" t="s">
        <v>341</v>
      </c>
      <c r="C205" t="s">
        <v>342</v>
      </c>
      <c r="D205">
        <v>176.3</v>
      </c>
      <c r="E205">
        <v>92.5</v>
      </c>
      <c r="F205">
        <v>77.599999999999994</v>
      </c>
      <c r="H205">
        <v>-17</v>
      </c>
    </row>
    <row r="206" spans="1:8" x14ac:dyDescent="0.3">
      <c r="A206">
        <v>140289737</v>
      </c>
      <c r="B206" s="2" t="s">
        <v>341</v>
      </c>
      <c r="C206" t="s">
        <v>344</v>
      </c>
      <c r="D206">
        <v>152</v>
      </c>
      <c r="E206">
        <v>84</v>
      </c>
      <c r="F206">
        <v>70</v>
      </c>
      <c r="G206">
        <v>5</v>
      </c>
      <c r="H206">
        <v>-18</v>
      </c>
    </row>
    <row r="207" spans="1:8" x14ac:dyDescent="0.3">
      <c r="A207">
        <v>116319762</v>
      </c>
      <c r="B207" s="2" t="s">
        <v>343</v>
      </c>
      <c r="C207" t="s">
        <v>344</v>
      </c>
      <c r="D207">
        <v>179</v>
      </c>
      <c r="E207">
        <v>81</v>
      </c>
      <c r="F207">
        <v>66.5</v>
      </c>
      <c r="G207">
        <v>2</v>
      </c>
    </row>
    <row r="208" spans="1:8" x14ac:dyDescent="0.3">
      <c r="A208">
        <v>163466491</v>
      </c>
      <c r="B208" s="2" t="s">
        <v>341</v>
      </c>
      <c r="C208" t="s">
        <v>344</v>
      </c>
      <c r="D208">
        <v>104</v>
      </c>
      <c r="E208">
        <v>63.7</v>
      </c>
      <c r="F208">
        <v>59.8</v>
      </c>
      <c r="G208">
        <v>5</v>
      </c>
      <c r="H208">
        <v>-22</v>
      </c>
    </row>
    <row r="209" spans="1:8" x14ac:dyDescent="0.3">
      <c r="A209">
        <v>159643820</v>
      </c>
      <c r="B209" s="2" t="s">
        <v>343</v>
      </c>
      <c r="C209" t="s">
        <v>344</v>
      </c>
      <c r="D209">
        <v>195</v>
      </c>
      <c r="E209">
        <v>88</v>
      </c>
      <c r="F209">
        <v>80</v>
      </c>
      <c r="G209">
        <v>1</v>
      </c>
      <c r="H209">
        <v>-18</v>
      </c>
    </row>
    <row r="210" spans="1:8" x14ac:dyDescent="0.3">
      <c r="A210">
        <v>156862883</v>
      </c>
      <c r="B210" s="2" t="s">
        <v>343</v>
      </c>
      <c r="C210" t="s">
        <v>342</v>
      </c>
      <c r="D210">
        <v>153</v>
      </c>
      <c r="E210">
        <v>74</v>
      </c>
      <c r="F210">
        <v>83</v>
      </c>
      <c r="G210">
        <v>1</v>
      </c>
      <c r="H210">
        <v>-18</v>
      </c>
    </row>
    <row r="211" spans="1:8" x14ac:dyDescent="0.3">
      <c r="A211">
        <v>166729413</v>
      </c>
      <c r="B211" s="2" t="s">
        <v>341</v>
      </c>
      <c r="C211" t="s">
        <v>344</v>
      </c>
      <c r="D211">
        <v>50</v>
      </c>
      <c r="E211">
        <v>80</v>
      </c>
      <c r="F211">
        <v>50</v>
      </c>
      <c r="G211">
        <v>5</v>
      </c>
      <c r="H211">
        <v>-24</v>
      </c>
    </row>
    <row r="212" spans="1:8" x14ac:dyDescent="0.3">
      <c r="A212">
        <v>117728288</v>
      </c>
      <c r="B212" s="2" t="s">
        <v>341</v>
      </c>
      <c r="C212" t="s">
        <v>342</v>
      </c>
      <c r="D212">
        <v>70</v>
      </c>
      <c r="E212">
        <v>90</v>
      </c>
      <c r="F212">
        <v>62</v>
      </c>
      <c r="G212">
        <v>1</v>
      </c>
      <c r="H212">
        <v>-18</v>
      </c>
    </row>
    <row r="213" spans="1:8" x14ac:dyDescent="0.3">
      <c r="A213" s="6">
        <v>141491976</v>
      </c>
      <c r="B213" s="2" t="s">
        <v>347</v>
      </c>
      <c r="C213" t="s">
        <v>345</v>
      </c>
      <c r="D213">
        <v>74.5</v>
      </c>
      <c r="E213">
        <v>107.7</v>
      </c>
      <c r="F213">
        <v>78.8</v>
      </c>
      <c r="H213">
        <v>-35</v>
      </c>
    </row>
    <row r="214" spans="1:8" x14ac:dyDescent="0.3">
      <c r="A214" s="6">
        <v>119915136</v>
      </c>
      <c r="B214" s="2" t="s">
        <v>346</v>
      </c>
      <c r="C214" t="s">
        <v>344</v>
      </c>
      <c r="D214">
        <v>147.4</v>
      </c>
      <c r="E214">
        <v>199.6</v>
      </c>
      <c r="F214">
        <v>96</v>
      </c>
      <c r="H214">
        <v>-18</v>
      </c>
    </row>
    <row r="215" spans="1:8" x14ac:dyDescent="0.3">
      <c r="A215">
        <v>100021583</v>
      </c>
      <c r="B215" s="2" t="s">
        <v>341</v>
      </c>
      <c r="C215" t="s">
        <v>344</v>
      </c>
      <c r="D215">
        <v>160</v>
      </c>
      <c r="E215">
        <v>83</v>
      </c>
      <c r="F215">
        <v>64</v>
      </c>
      <c r="G215">
        <v>6</v>
      </c>
    </row>
    <row r="216" spans="1:8" x14ac:dyDescent="0.3">
      <c r="A216" s="6">
        <v>152779172</v>
      </c>
      <c r="B216" s="2" t="s">
        <v>347</v>
      </c>
      <c r="C216" t="s">
        <v>344</v>
      </c>
      <c r="D216">
        <v>75</v>
      </c>
      <c r="E216">
        <v>143</v>
      </c>
      <c r="F216">
        <v>90</v>
      </c>
      <c r="H216">
        <v>-35</v>
      </c>
    </row>
    <row r="217" spans="1:8" x14ac:dyDescent="0.3">
      <c r="A217" s="6">
        <v>112338190</v>
      </c>
      <c r="B217" s="2" t="s">
        <v>346</v>
      </c>
      <c r="C217" t="s">
        <v>345</v>
      </c>
      <c r="D217">
        <v>160</v>
      </c>
      <c r="E217">
        <v>198</v>
      </c>
      <c r="F217">
        <v>72.5</v>
      </c>
      <c r="H217">
        <v>-18</v>
      </c>
    </row>
    <row r="218" spans="1:8" x14ac:dyDescent="0.3">
      <c r="A218">
        <v>113187274</v>
      </c>
      <c r="B218" s="2" t="s">
        <v>341</v>
      </c>
      <c r="C218" t="s">
        <v>344</v>
      </c>
      <c r="D218">
        <v>160</v>
      </c>
      <c r="E218">
        <v>84</v>
      </c>
      <c r="F218">
        <v>60</v>
      </c>
      <c r="G218">
        <v>7</v>
      </c>
      <c r="H218">
        <v>-22</v>
      </c>
    </row>
    <row r="219" spans="1:8" x14ac:dyDescent="0.3">
      <c r="A219" s="6">
        <v>141950186</v>
      </c>
      <c r="B219" s="2" t="s">
        <v>346</v>
      </c>
      <c r="C219" t="s">
        <v>342</v>
      </c>
      <c r="D219">
        <v>120</v>
      </c>
      <c r="E219">
        <v>197</v>
      </c>
      <c r="F219">
        <v>70</v>
      </c>
      <c r="H219">
        <v>-14</v>
      </c>
    </row>
    <row r="220" spans="1:8" x14ac:dyDescent="0.3">
      <c r="A220">
        <v>157672271</v>
      </c>
      <c r="B220" s="2" t="s">
        <v>343</v>
      </c>
      <c r="C220" t="s">
        <v>342</v>
      </c>
      <c r="D220">
        <v>255</v>
      </c>
      <c r="E220">
        <v>90</v>
      </c>
      <c r="F220">
        <v>90</v>
      </c>
      <c r="H220">
        <v>-18</v>
      </c>
    </row>
    <row r="221" spans="1:8" x14ac:dyDescent="0.3">
      <c r="A221">
        <v>111545019</v>
      </c>
      <c r="B221" s="2" t="s">
        <v>341</v>
      </c>
      <c r="C221" t="s">
        <v>344</v>
      </c>
      <c r="D221">
        <v>160</v>
      </c>
      <c r="E221">
        <v>89</v>
      </c>
      <c r="F221">
        <v>82.5</v>
      </c>
      <c r="G221">
        <v>4</v>
      </c>
      <c r="H221">
        <v>-18</v>
      </c>
    </row>
    <row r="222" spans="1:8" x14ac:dyDescent="0.3">
      <c r="A222">
        <v>121174966</v>
      </c>
      <c r="B222" s="2" t="s">
        <v>343</v>
      </c>
      <c r="C222" t="s">
        <v>344</v>
      </c>
      <c r="D222">
        <v>140</v>
      </c>
      <c r="E222">
        <v>88</v>
      </c>
      <c r="F222">
        <v>76</v>
      </c>
      <c r="G222">
        <v>1</v>
      </c>
      <c r="H222">
        <v>-24</v>
      </c>
    </row>
    <row r="223" spans="1:8" x14ac:dyDescent="0.3">
      <c r="A223" s="6">
        <v>146461246</v>
      </c>
      <c r="B223" s="2" t="s">
        <v>346</v>
      </c>
      <c r="C223" t="s">
        <v>344</v>
      </c>
      <c r="D223">
        <v>120</v>
      </c>
      <c r="E223">
        <v>197</v>
      </c>
      <c r="F223">
        <v>70</v>
      </c>
      <c r="H223">
        <v>-15</v>
      </c>
    </row>
    <row r="224" spans="1:8" x14ac:dyDescent="0.3">
      <c r="A224">
        <v>162695585</v>
      </c>
      <c r="B224" s="2" t="s">
        <v>343</v>
      </c>
      <c r="C224" t="s">
        <v>342</v>
      </c>
      <c r="D224">
        <v>173</v>
      </c>
      <c r="E224">
        <v>77</v>
      </c>
      <c r="F224">
        <v>87</v>
      </c>
      <c r="G224">
        <v>3</v>
      </c>
      <c r="H224">
        <v>-18</v>
      </c>
    </row>
    <row r="225" spans="1:8" x14ac:dyDescent="0.3">
      <c r="A225">
        <v>112447199</v>
      </c>
      <c r="B225" s="2" t="s">
        <v>343</v>
      </c>
      <c r="C225" t="s">
        <v>342</v>
      </c>
      <c r="D225">
        <v>302</v>
      </c>
      <c r="E225">
        <v>95.5</v>
      </c>
      <c r="F225">
        <v>75</v>
      </c>
      <c r="G225">
        <v>3</v>
      </c>
    </row>
    <row r="226" spans="1:8" x14ac:dyDescent="0.3">
      <c r="A226">
        <v>162887612</v>
      </c>
      <c r="B226" s="2" t="s">
        <v>341</v>
      </c>
      <c r="C226" t="s">
        <v>342</v>
      </c>
      <c r="D226">
        <v>152</v>
      </c>
      <c r="E226">
        <v>85</v>
      </c>
      <c r="F226">
        <v>67.5</v>
      </c>
      <c r="G226">
        <v>5</v>
      </c>
      <c r="H226">
        <v>-18</v>
      </c>
    </row>
    <row r="227" spans="1:8" x14ac:dyDescent="0.3">
      <c r="A227">
        <v>140330750</v>
      </c>
      <c r="B227" s="2" t="s">
        <v>341</v>
      </c>
      <c r="C227" t="s">
        <v>342</v>
      </c>
      <c r="D227">
        <v>166</v>
      </c>
      <c r="E227">
        <v>83</v>
      </c>
      <c r="F227">
        <v>69</v>
      </c>
      <c r="G227">
        <v>6</v>
      </c>
      <c r="H227">
        <v>-18</v>
      </c>
    </row>
    <row r="228" spans="1:8" x14ac:dyDescent="0.3">
      <c r="A228">
        <v>113102522</v>
      </c>
      <c r="B228" s="2" t="s">
        <v>341</v>
      </c>
      <c r="C228" t="s">
        <v>344</v>
      </c>
      <c r="D228">
        <v>130</v>
      </c>
      <c r="E228">
        <v>85</v>
      </c>
      <c r="F228">
        <v>65</v>
      </c>
      <c r="G228">
        <v>5</v>
      </c>
      <c r="H228">
        <v>-24</v>
      </c>
    </row>
    <row r="229" spans="1:8" x14ac:dyDescent="0.3">
      <c r="A229">
        <v>132170932</v>
      </c>
      <c r="B229" s="2" t="s">
        <v>341</v>
      </c>
      <c r="C229" t="s">
        <v>344</v>
      </c>
      <c r="D229">
        <v>109</v>
      </c>
      <c r="E229">
        <v>84.1</v>
      </c>
      <c r="F229">
        <v>66</v>
      </c>
      <c r="G229">
        <v>3</v>
      </c>
      <c r="H229">
        <v>-18</v>
      </c>
    </row>
    <row r="230" spans="1:8" x14ac:dyDescent="0.3">
      <c r="A230">
        <v>162392253</v>
      </c>
      <c r="B230" s="2" t="s">
        <v>343</v>
      </c>
      <c r="C230" t="s">
        <v>342</v>
      </c>
      <c r="D230">
        <v>128</v>
      </c>
      <c r="E230">
        <v>73.5</v>
      </c>
      <c r="F230">
        <v>83</v>
      </c>
      <c r="H230">
        <v>-18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Главн</vt:lpstr>
      <vt:lpstr>Впр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2015-06-05T18:17:20Z</dcterms:created>
  <dcterms:modified xsi:type="dcterms:W3CDTF">2026-07-14T07:34:58Z</dcterms:modified>
</cp:coreProperties>
</file>